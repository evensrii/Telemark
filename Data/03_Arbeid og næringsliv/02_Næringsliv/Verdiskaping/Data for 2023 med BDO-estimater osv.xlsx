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telemarkfylke-my.sharepoint.com/personal/even_sannes_riiser_telemarkfylke_no/Documents/Github/Telemark/Data/03_Arbeid og næringsliv/02_Næringsliv/Verdiskaping/"/>
    </mc:Choice>
  </mc:AlternateContent>
  <xr:revisionPtr revIDLastSave="181" documentId="8_{C79B0E6A-FB6F-4C02-9CAB-88E3D1FF6FF2}" xr6:coauthVersionLast="47" xr6:coauthVersionMax="47" xr10:uidLastSave="{2AC10FDD-8213-4063-B0E3-00CA00A11970}"/>
  <bookViews>
    <workbookView xWindow="38295" yWindow="0" windowWidth="38610" windowHeight="20985" xr2:uid="{00000000-000D-0000-FFFF-FFFF00000000}"/>
  </bookViews>
  <sheets>
    <sheet name="Totalt for næringer" sheetId="2" r:id="rId1"/>
    <sheet name="Fordelt på næringer" sheetId="3" r:id="rId2"/>
    <sheet name="Produktivitet - avventer"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2" l="1"/>
  <c r="F56" i="2" s="1"/>
  <c r="F58" i="2"/>
  <c r="F57" i="2"/>
  <c r="F55" i="2"/>
  <c r="F54" i="2"/>
  <c r="F53" i="2"/>
  <c r="F52" i="2"/>
  <c r="F51" i="2"/>
  <c r="F50" i="2"/>
  <c r="F49" i="2"/>
  <c r="F48" i="2"/>
  <c r="F47" i="2"/>
  <c r="D28" i="3"/>
  <c r="G10" i="3" s="1"/>
  <c r="C41" i="3" s="1"/>
  <c r="C28" i="3"/>
  <c r="F14" i="3" s="1"/>
  <c r="D45" i="3" s="1"/>
  <c r="F39" i="2"/>
  <c r="D39" i="2"/>
  <c r="F30" i="2"/>
  <c r="F35" i="2"/>
  <c r="F37" i="2"/>
  <c r="F28" i="2"/>
  <c r="F33" i="2"/>
  <c r="F32" i="2"/>
  <c r="F34" i="2"/>
  <c r="F29" i="2"/>
  <c r="F31" i="2"/>
  <c r="F36" i="2"/>
  <c r="F27" i="2"/>
  <c r="F26" i="2"/>
  <c r="F14" i="2"/>
  <c r="F5" i="2"/>
  <c r="F7" i="2"/>
  <c r="F19" i="2"/>
  <c r="F10" i="2"/>
  <c r="F11" i="2"/>
  <c r="F13" i="2"/>
  <c r="F17" i="2"/>
  <c r="F9" i="2"/>
  <c r="F15" i="2"/>
  <c r="F6" i="2"/>
  <c r="F12" i="2"/>
  <c r="F3" i="2"/>
  <c r="F20" i="2"/>
  <c r="F21" i="2"/>
  <c r="F16" i="2"/>
  <c r="F8" i="2"/>
  <c r="F18" i="2"/>
  <c r="F4" i="2"/>
  <c r="F22" i="3" l="1"/>
  <c r="D55" i="3" s="1"/>
  <c r="F11" i="3"/>
  <c r="D42" i="3" s="1"/>
  <c r="G27" i="3"/>
  <c r="C59" i="3" s="1"/>
  <c r="G21" i="3"/>
  <c r="C54" i="3" s="1"/>
  <c r="G9" i="3"/>
  <c r="C40" i="3" s="1"/>
  <c r="F13" i="3"/>
  <c r="D44" i="3" s="1"/>
  <c r="F21" i="3"/>
  <c r="D54" i="3" s="1"/>
  <c r="F8" i="3"/>
  <c r="D39" i="3" s="1"/>
  <c r="G13" i="3"/>
  <c r="C44" i="3" s="1"/>
  <c r="F19" i="3"/>
  <c r="D52" i="3" s="1"/>
  <c r="G14" i="3"/>
  <c r="C45" i="3" s="1"/>
  <c r="F26" i="3"/>
  <c r="D47" i="3" s="1"/>
  <c r="F15" i="3"/>
  <c r="D46" i="3" s="1"/>
  <c r="F5" i="3"/>
  <c r="D36" i="3" s="1"/>
  <c r="G8" i="3"/>
  <c r="C39" i="3" s="1"/>
  <c r="G19" i="3"/>
  <c r="C52" i="3" s="1"/>
  <c r="F25" i="3"/>
  <c r="D58" i="3" s="1"/>
  <c r="F7" i="3"/>
  <c r="D38" i="3" s="1"/>
  <c r="G15" i="3"/>
  <c r="C46" i="3" s="1"/>
  <c r="F24" i="3"/>
  <c r="D57" i="3" s="1"/>
  <c r="F18" i="3"/>
  <c r="D51" i="3" s="1"/>
  <c r="F17" i="3"/>
  <c r="D50" i="3" s="1"/>
  <c r="F23" i="3"/>
  <c r="D56" i="3" s="1"/>
  <c r="G6" i="3"/>
  <c r="C37" i="3" s="1"/>
  <c r="G16" i="3"/>
  <c r="C49" i="3" s="1"/>
  <c r="F27" i="3"/>
  <c r="D59" i="3" s="1"/>
  <c r="F9" i="3"/>
  <c r="D40" i="3" s="1"/>
  <c r="F12" i="3"/>
  <c r="D43" i="3" s="1"/>
  <c r="G18" i="3"/>
  <c r="C51" i="3" s="1"/>
  <c r="G17" i="3"/>
  <c r="C50" i="3" s="1"/>
  <c r="G23" i="3"/>
  <c r="C56" i="3" s="1"/>
  <c r="G12" i="3"/>
  <c r="C43" i="3" s="1"/>
  <c r="G22" i="3"/>
  <c r="C55" i="3" s="1"/>
  <c r="G11" i="3"/>
  <c r="C42" i="3" s="1"/>
  <c r="G5" i="3"/>
  <c r="C36" i="3" s="1"/>
  <c r="G7" i="3"/>
  <c r="C38" i="3" s="1"/>
  <c r="F4" i="3"/>
  <c r="D35" i="3" s="1"/>
  <c r="G26" i="3"/>
  <c r="C47" i="3" s="1"/>
  <c r="F20" i="3"/>
  <c r="D53" i="3" s="1"/>
  <c r="F3" i="3"/>
  <c r="D34" i="3" s="1"/>
  <c r="F10" i="3"/>
  <c r="D41" i="3" s="1"/>
  <c r="G25" i="3"/>
  <c r="C58" i="3" s="1"/>
  <c r="G4" i="3"/>
  <c r="C35" i="3" s="1"/>
  <c r="F6" i="3"/>
  <c r="D37" i="3" s="1"/>
  <c r="F16" i="3"/>
  <c r="D49" i="3" s="1"/>
  <c r="G20" i="3"/>
  <c r="C53" i="3" s="1"/>
  <c r="G24" i="3"/>
  <c r="C57" i="3" s="1"/>
  <c r="G3" i="3"/>
  <c r="C3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pxwebapi-v2</author>
  </authors>
  <commentList>
    <comment ref="B9" authorId="0" shapeId="0" xr:uid="{00000000-0006-0000-0000-000003000000}">
      <text>
        <r>
          <rPr>
            <sz val="9"/>
            <color rgb="FF000000"/>
            <rFont val="Tahoma"/>
            <family val="2"/>
          </rPr>
          <t xml:space="preserve">1.1.2019 ble kommunen 1567 Rindal flyttet fra Møre og Romsdal til Trøndelag. 1.1.2020 ble kommunen 1571 Halsa flyttet fra Møre og Romsdal til Trøndelag.
</t>
        </r>
      </text>
    </comment>
    <comment ref="B10" authorId="0" shapeId="0" xr:uid="{00000000-0006-0000-0000-000001000000}">
      <text>
        <r>
          <rPr>
            <sz val="9"/>
            <color rgb="FF000000"/>
            <rFont val="Tahoma"/>
            <family val="2"/>
          </rPr>
          <t xml:space="preserve">1.1.2019 ble kommunen 1567 Rindal flyttet fra Møre og Romsdal til Trøndelag. 1.1.2020 ble kommunen 1571 Halsa flyttet fra Møre og Romsdal til Trøndelag. 1.1.2020 ble kommunen 1444 Hornindal flyttet fra Sogn og Fjordane til Møre og Romsdal.
</t>
        </r>
      </text>
    </comment>
    <comment ref="B11" authorId="0" shapeId="0" xr:uid="{00000000-0006-0000-0000-000002000000}">
      <text>
        <r>
          <rPr>
            <sz val="9"/>
            <color rgb="FF000000"/>
            <rFont val="Tahoma"/>
            <family val="2"/>
          </rPr>
          <t xml:space="preserve">1.1.2020 ble kommunen 1852 Tjeldsund flyttet fra Nordland til Troms og Finnmark.
</t>
        </r>
      </text>
    </comment>
    <comment ref="B31" authorId="0" shapeId="0" xr:uid="{242548F5-CD53-4EBF-BE17-A5B24860786A}">
      <text>
        <r>
          <rPr>
            <sz val="9"/>
            <color rgb="FF000000"/>
            <rFont val="Tahoma"/>
            <family val="2"/>
          </rPr>
          <t xml:space="preserve">1.1.2019 ble kommunen 1567 Rindal flyttet fra Møre og Romsdal til Trøndelag. 1.1.2020 ble kommunen 1571 Halsa flyttet fra Møre og Romsdal til Trøndelag.
</t>
        </r>
      </text>
    </comment>
    <comment ref="B35" authorId="0" shapeId="0" xr:uid="{DCAEB1D7-B560-4EC1-83E8-53BA028FE498}">
      <text>
        <r>
          <rPr>
            <sz val="9"/>
            <color rgb="FF000000"/>
            <rFont val="Tahoma"/>
            <family val="2"/>
          </rPr>
          <t xml:space="preserve">1.1.2019 ble kommunen 1567 Rindal flyttet fra Møre og Romsdal til Trøndelag. 1.1.2020 ble kommunen 1571 Halsa flyttet fra Møre og Romsdal til Trøndelag. 1.1.2020 ble kommunen 1444 Hornindal flyttet fra Sogn og Fjordane til Møre og Romsdal.
</t>
        </r>
      </text>
    </comment>
    <comment ref="B37" authorId="0" shapeId="0" xr:uid="{6D15F638-C9E3-4C09-81DF-DF6D2C20583F}">
      <text>
        <r>
          <rPr>
            <sz val="9"/>
            <color rgb="FF000000"/>
            <rFont val="Tahoma"/>
            <family val="2"/>
          </rPr>
          <t xml:space="preserve">1.1.2020 ble kommunen 1852 Tjeldsund flyttet fra Nordland til Troms og Finnmark.
</t>
        </r>
      </text>
    </comment>
    <comment ref="B51" authorId="0" shapeId="0" xr:uid="{6BA94D65-EAD6-402D-8E2C-321B6BFA3769}">
      <text>
        <r>
          <rPr>
            <sz val="9"/>
            <color rgb="FF000000"/>
            <rFont val="Tahoma"/>
            <family val="2"/>
          </rPr>
          <t xml:space="preserve">1.1.2019 ble kommunen 1567 Rindal flyttet fra Møre og Romsdal til Trøndelag. 1.1.2020 ble kommunen 1571 Halsa flyttet fra Møre og Romsdal til Trøndelag. 1.1.2020 ble kommunen 1444 Hornindal flyttet fra Sogn og Fjordane til Møre og Romsdal.
</t>
        </r>
      </text>
    </comment>
    <comment ref="J51" authorId="0" shapeId="0" xr:uid="{72942B68-60AA-4263-A48E-C0BB5A974D56}">
      <text>
        <r>
          <rPr>
            <sz val="9"/>
            <color rgb="FF000000"/>
            <rFont val="Tahoma"/>
            <family val="2"/>
          </rPr>
          <t xml:space="preserve">1.1.2019 ble kommunen 1567 Rindal flyttet fra Møre og Romsdal til Trøndelag. 1.1.2020 ble kommunen 1571 Halsa flyttet fra Møre og Romsdal til Trøndelag. 1.1.2020 ble kommunen 1444 Hornindal flyttet fra Sogn og Fjordane til Møre og Romsdal.
</t>
        </r>
      </text>
    </comment>
    <comment ref="B53" authorId="0" shapeId="0" xr:uid="{C5C8C4A9-9D63-4B1D-BDCE-C943052E1D9E}">
      <text>
        <r>
          <rPr>
            <sz val="9"/>
            <color rgb="FF000000"/>
            <rFont val="Tahoma"/>
            <family val="2"/>
          </rPr>
          <t xml:space="preserve">1.1.2019 ble kommunen 1567 Rindal flyttet fra Møre og Romsdal til Trøndelag. 1.1.2020 ble kommunen 1571 Halsa flyttet fra Møre og Romsdal til Trøndelag.
</t>
        </r>
      </text>
    </comment>
    <comment ref="J53" authorId="0" shapeId="0" xr:uid="{43BBDC3E-3FE1-43E4-B9AF-F7724B712B43}">
      <text>
        <r>
          <rPr>
            <sz val="9"/>
            <color rgb="FF000000"/>
            <rFont val="Tahoma"/>
            <family val="2"/>
          </rPr>
          <t xml:space="preserve">1.1.2019 ble kommunen 1567 Rindal flyttet fra Møre og Romsdal til Trøndelag. 1.1.2020 ble kommunen 1571 Halsa flyttet fra Møre og Romsdal til Trøndelag.
</t>
        </r>
      </text>
    </comment>
    <comment ref="B54" authorId="0" shapeId="0" xr:uid="{56638DDD-3527-4802-8B1A-5235231B23E9}">
      <text>
        <r>
          <rPr>
            <sz val="9"/>
            <color rgb="FF000000"/>
            <rFont val="Tahoma"/>
            <family val="2"/>
          </rPr>
          <t xml:space="preserve">1.1.2020 ble kommunen 1852 Tjeldsund flyttet fra Nordland til Troms og Finnmark.
</t>
        </r>
      </text>
    </comment>
    <comment ref="J54" authorId="0" shapeId="0" xr:uid="{9CAEA244-CA0D-4D5F-A436-722EEE9AAB3B}">
      <text>
        <r>
          <rPr>
            <sz val="9"/>
            <color rgb="FF000000"/>
            <rFont val="Tahoma"/>
            <family val="2"/>
          </rPr>
          <t xml:space="preserve">1.1.2020 ble kommunen 1852 Tjeldsund flyttet fra Nordland til Troms og Finnmark.
</t>
        </r>
      </text>
    </comment>
  </commentList>
</comments>
</file>

<file path=xl/sharedStrings.xml><?xml version="1.0" encoding="utf-8"?>
<sst xmlns="http://schemas.openxmlformats.org/spreadsheetml/2006/main" count="154" uniqueCount="91">
  <si>
    <t>Totalt for næringer</t>
  </si>
  <si>
    <t>Bruttoprodukt i basisverdi. Løpende priser (mill. kr)</t>
  </si>
  <si>
    <t>Sysselsatte personer (1 000 personer)</t>
  </si>
  <si>
    <t>2019</t>
  </si>
  <si>
    <t>0 Hele landet</t>
  </si>
  <si>
    <t>10 Vest-Agder (-2019)</t>
  </si>
  <si>
    <t>11 Rogaland</t>
  </si>
  <si>
    <t>12 Hordaland (-2019)</t>
  </si>
  <si>
    <t>14 Sogn og Fjordane (-2019)</t>
  </si>
  <si>
    <t>15 Møre og Romsdal</t>
  </si>
  <si>
    <t>18 Nordland - Nordlánnda</t>
  </si>
  <si>
    <t>19 Troms - Romsa (-2019)</t>
  </si>
  <si>
    <t>20 Finnmark - Finnmárku (-2019)</t>
  </si>
  <si>
    <t>50 Trøndelag - Trööndelage</t>
  </si>
  <si>
    <t>01 Østfold (-2019)</t>
  </si>
  <si>
    <t>02 Akershus (-2019)</t>
  </si>
  <si>
    <t>06 Buskerud (-2019)</t>
  </si>
  <si>
    <t>03 Oslo - Oslove</t>
  </si>
  <si>
    <t>04 Hedmark (-2019)</t>
  </si>
  <si>
    <t>05 Oppland (-2019)</t>
  </si>
  <si>
    <t>07 Vestfold (-2019)</t>
  </si>
  <si>
    <t>08 Telemark (-2019)</t>
  </si>
  <si>
    <t>09 Aust-Agder (-2019)</t>
  </si>
  <si>
    <t>Verdiskaping per sysselsatt</t>
  </si>
  <si>
    <t>Tabell 11713</t>
  </si>
  <si>
    <t>2023</t>
  </si>
  <si>
    <t>30 Viken (2020-2023)</t>
  </si>
  <si>
    <t>34 Innlandet</t>
  </si>
  <si>
    <t>38 Vestfold og Telemark (2020-2023)</t>
  </si>
  <si>
    <t>42 Agder</t>
  </si>
  <si>
    <t>46 Vestland</t>
  </si>
  <si>
    <t>54 Troms og Finnmark - Romsa ja Finnmárku (2020-2023)</t>
  </si>
  <si>
    <t>Telemark</t>
  </si>
  <si>
    <t>Estimert av BDO</t>
  </si>
  <si>
    <t>Fra tabell 07984</t>
  </si>
  <si>
    <t>Jordbruk og skogbruk</t>
  </si>
  <si>
    <t>Fiske, fangst og akvakultur</t>
  </si>
  <si>
    <t>Bergverksdrift</t>
  </si>
  <si>
    <t>Utvinning av råolje og naturgass, inkl. tjenester</t>
  </si>
  <si>
    <t>Industri</t>
  </si>
  <si>
    <t>Elektrisitets-, gass- og varmtvannsforsyning</t>
  </si>
  <si>
    <t>Vannforsyning, avløp og renovasjon</t>
  </si>
  <si>
    <t>Bygge- og anleggsvirksomhet</t>
  </si>
  <si>
    <t>Varehandel og reparasjon av motorvogner</t>
  </si>
  <si>
    <t>Rørtransport</t>
  </si>
  <si>
    <t>Utenriks sjøfart</t>
  </si>
  <si>
    <t>Transport utenom utenriks sjøfart</t>
  </si>
  <si>
    <t>Post og distribusjonsvirksomhet</t>
  </si>
  <si>
    <t>Overnattings- og serveringsvirksomhet</t>
  </si>
  <si>
    <t>Informasjon og kommunikasjon</t>
  </si>
  <si>
    <t>Finansierings- og forsikringsvirksomhet</t>
  </si>
  <si>
    <t>Omsetning og drift av fast eiendom</t>
  </si>
  <si>
    <t>Boligtjenester, egen bolig</t>
  </si>
  <si>
    <t>Faglig, vitenskapelig og teknisk tjenesteyting</t>
  </si>
  <si>
    <t>Forretningsmessig tjenesteyting</t>
  </si>
  <si>
    <t>Offentlig administrasjon og forsvar</t>
  </si>
  <si>
    <t>Undervisning</t>
  </si>
  <si>
    <t>Helse- og omsorgstjenester</t>
  </si>
  <si>
    <t>Kultur, underholdning og annen tjenesteyting</t>
  </si>
  <si>
    <t>Fastlands-Norge</t>
  </si>
  <si>
    <t>Hele landet (2023)</t>
  </si>
  <si>
    <t>Telemark (2023) - estimert av BDO</t>
  </si>
  <si>
    <t>Næringsgruppe</t>
  </si>
  <si>
    <t>Landet</t>
  </si>
  <si>
    <t>Rogaland</t>
  </si>
  <si>
    <t>Vestland</t>
  </si>
  <si>
    <t>Møre og Romsdal</t>
  </si>
  <si>
    <t>Agder</t>
  </si>
  <si>
    <t>Innlandet</t>
  </si>
  <si>
    <t>Hele landet</t>
  </si>
  <si>
    <t>Oslo</t>
  </si>
  <si>
    <t>Viken</t>
  </si>
  <si>
    <t>Trøndelag</t>
  </si>
  <si>
    <t>Nordland</t>
  </si>
  <si>
    <t>Troms og Finnmark</t>
  </si>
  <si>
    <t>Region</t>
  </si>
  <si>
    <t>2011</t>
  </si>
  <si>
    <t>2012</t>
  </si>
  <si>
    <t>2013</t>
  </si>
  <si>
    <t>2014</t>
  </si>
  <si>
    <t>2015</t>
  </si>
  <si>
    <t>2016</t>
  </si>
  <si>
    <t>2017</t>
  </si>
  <si>
    <t>2018</t>
  </si>
  <si>
    <t>2020</t>
  </si>
  <si>
    <t>2021</t>
  </si>
  <si>
    <t>2022</t>
  </si>
  <si>
    <t>Telemark estimert BDO</t>
  </si>
  <si>
    <t>SSB tabell 11713</t>
  </si>
  <si>
    <t>BDO</t>
  </si>
  <si>
    <t>Sysselsatte, tabell 13470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</si>
</sst>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rgb="FF000000"/>
      <name val="Calibri"/>
      <family val="2"/>
    </font>
    <font>
      <b/>
      <sz val="11"/>
      <color rgb="FF000000"/>
      <name val="Calibri"/>
      <family val="2"/>
    </font>
    <font>
      <sz val="9"/>
      <color rgb="FF000000"/>
      <name val="Tahoma"/>
      <family val="2"/>
    </font>
    <font>
      <i/>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rgb="FF00B0F0"/>
        <bgColor indexed="64"/>
      </patternFill>
    </fill>
    <fill>
      <patternFill patternType="solid">
        <fgColor theme="3" tint="0.79998168889431442"/>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applyBorder="0"/>
  </cellStyleXfs>
  <cellXfs count="25">
    <xf numFmtId="0" fontId="0" fillId="0" borderId="0" xfId="0"/>
    <xf numFmtId="0" fontId="1" fillId="0" borderId="0" xfId="0" applyFont="1"/>
    <xf numFmtId="1" fontId="0" fillId="0" borderId="0" xfId="0" applyNumberFormat="1"/>
    <xf numFmtId="164" fontId="0" fillId="0" borderId="0" xfId="0" applyNumberFormat="1"/>
    <xf numFmtId="3" fontId="0" fillId="0" borderId="0" xfId="0" applyNumberFormat="1"/>
    <xf numFmtId="0" fontId="1" fillId="2" borderId="0" xfId="0" applyFont="1" applyFill="1"/>
    <xf numFmtId="164" fontId="0" fillId="2" borderId="0" xfId="0" applyNumberFormat="1" applyFill="1"/>
    <xf numFmtId="0" fontId="0" fillId="2" borderId="0" xfId="0" applyFill="1"/>
    <xf numFmtId="3" fontId="0" fillId="2" borderId="0" xfId="0" applyNumberFormat="1" applyFill="1"/>
    <xf numFmtId="164" fontId="0" fillId="3" borderId="0" xfId="0" applyNumberFormat="1" applyFill="1"/>
    <xf numFmtId="3" fontId="0" fillId="4" borderId="0" xfId="0" applyNumberFormat="1" applyFill="1"/>
    <xf numFmtId="3" fontId="0" fillId="4" borderId="0" xfId="0" applyNumberFormat="1" applyFill="1" applyAlignment="1">
      <alignment horizontal="right"/>
    </xf>
    <xf numFmtId="164" fontId="0" fillId="3" borderId="0" xfId="0" applyNumberFormat="1" applyFill="1" applyAlignment="1">
      <alignment horizontal="right"/>
    </xf>
    <xf numFmtId="3" fontId="0" fillId="0" borderId="0" xfId="0" applyNumberFormat="1" applyAlignment="1">
      <alignment horizontal="right"/>
    </xf>
    <xf numFmtId="9" fontId="0" fillId="0" borderId="0" xfId="0" applyNumberFormat="1"/>
    <xf numFmtId="0" fontId="1" fillId="5" borderId="0" xfId="0" applyFont="1" applyFill="1"/>
    <xf numFmtId="0" fontId="1" fillId="0" borderId="1" xfId="0" applyFont="1" applyBorder="1"/>
    <xf numFmtId="0" fontId="1" fillId="0" borderId="3" xfId="0" applyFont="1" applyBorder="1"/>
    <xf numFmtId="0" fontId="1" fillId="0" borderId="5" xfId="0" applyFont="1" applyBorder="1"/>
    <xf numFmtId="1" fontId="0" fillId="0" borderId="2" xfId="0" applyNumberFormat="1" applyBorder="1"/>
    <xf numFmtId="1" fontId="0" fillId="0" borderId="4" xfId="0" applyNumberFormat="1" applyBorder="1"/>
    <xf numFmtId="1" fontId="0" fillId="0" borderId="6" xfId="0" applyNumberFormat="1" applyBorder="1"/>
    <xf numFmtId="0" fontId="1" fillId="0" borderId="0" xfId="0" applyFont="1" applyAlignment="1">
      <alignment horizontal="right"/>
    </xf>
    <xf numFmtId="0" fontId="0" fillId="0" borderId="0" xfId="0" applyAlignment="1">
      <alignment horizontal="right"/>
    </xf>
    <xf numFmtId="4" fontId="3"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tabSelected="1" workbookViewId="0">
      <selection activeCell="I7" sqref="I7"/>
    </sheetView>
  </sheetViews>
  <sheetFormatPr baseColWidth="10" defaultColWidth="9.140625" defaultRowHeight="15" x14ac:dyDescent="0.25"/>
  <cols>
    <col min="1" max="1" width="11.85546875" bestFit="1" customWidth="1"/>
    <col min="2" max="2" width="40.42578125" customWidth="1"/>
    <col min="3" max="3" width="24.140625" customWidth="1"/>
    <col min="4" max="4" width="27.42578125" customWidth="1"/>
    <col min="5" max="5" width="9.140625" customWidth="1"/>
    <col min="10" max="10" width="17.85546875" bestFit="1" customWidth="1"/>
    <col min="11" max="11" width="25.28515625" bestFit="1" customWidth="1"/>
  </cols>
  <sheetData>
    <row r="1" spans="1:9" x14ac:dyDescent="0.25">
      <c r="A1" t="s">
        <v>24</v>
      </c>
      <c r="C1" s="1" t="s">
        <v>0</v>
      </c>
    </row>
    <row r="2" spans="1:9" x14ac:dyDescent="0.25">
      <c r="C2" s="1" t="s">
        <v>1</v>
      </c>
      <c r="D2" s="1" t="s">
        <v>2</v>
      </c>
      <c r="F2" s="1" t="s">
        <v>23</v>
      </c>
    </row>
    <row r="3" spans="1:9" x14ac:dyDescent="0.25">
      <c r="A3" s="1" t="s">
        <v>3</v>
      </c>
      <c r="B3" s="1" t="s">
        <v>17</v>
      </c>
      <c r="C3" s="4">
        <v>625684</v>
      </c>
      <c r="D3" s="3">
        <v>499</v>
      </c>
      <c r="F3" s="4">
        <f t="shared" ref="F3:F22" si="0">(C3*1000000)/(D3*1000)</f>
        <v>1253875.7515030061</v>
      </c>
    </row>
    <row r="4" spans="1:9" x14ac:dyDescent="0.25">
      <c r="B4" s="1" t="s">
        <v>4</v>
      </c>
      <c r="C4" s="4">
        <v>3334714</v>
      </c>
      <c r="D4" s="3">
        <v>2841.1</v>
      </c>
      <c r="F4" s="4">
        <f t="shared" si="0"/>
        <v>1173740.4526415826</v>
      </c>
    </row>
    <row r="5" spans="1:9" x14ac:dyDescent="0.25">
      <c r="B5" s="1" t="s">
        <v>6</v>
      </c>
      <c r="C5" s="4">
        <v>280894</v>
      </c>
      <c r="D5" s="3">
        <v>266</v>
      </c>
      <c r="F5" s="4">
        <f t="shared" si="0"/>
        <v>1055992.4812030075</v>
      </c>
    </row>
    <row r="6" spans="1:9" x14ac:dyDescent="0.25">
      <c r="B6" s="1" t="s">
        <v>15</v>
      </c>
      <c r="C6" s="4">
        <v>310637</v>
      </c>
      <c r="D6" s="3">
        <v>297.89999999999998</v>
      </c>
      <c r="F6" s="4">
        <f t="shared" si="0"/>
        <v>1042755.9583752938</v>
      </c>
    </row>
    <row r="7" spans="1:9" x14ac:dyDescent="0.25">
      <c r="B7" s="1" t="s">
        <v>7</v>
      </c>
      <c r="C7" s="4">
        <v>279366</v>
      </c>
      <c r="D7" s="3">
        <v>272.3</v>
      </c>
      <c r="F7" s="4">
        <f t="shared" si="0"/>
        <v>1025949.3206022769</v>
      </c>
    </row>
    <row r="8" spans="1:9" x14ac:dyDescent="0.25">
      <c r="B8" s="5" t="s">
        <v>21</v>
      </c>
      <c r="C8" s="8">
        <v>77157</v>
      </c>
      <c r="D8" s="6">
        <v>79.3</v>
      </c>
      <c r="E8" s="7"/>
      <c r="F8" s="8">
        <f t="shared" si="0"/>
        <v>972976.04035308957</v>
      </c>
    </row>
    <row r="9" spans="1:9" x14ac:dyDescent="0.25">
      <c r="B9" s="1" t="s">
        <v>13</v>
      </c>
      <c r="C9" s="4">
        <v>232724</v>
      </c>
      <c r="D9" s="3">
        <v>244</v>
      </c>
      <c r="F9" s="4">
        <f t="shared" si="0"/>
        <v>953786.88524590165</v>
      </c>
    </row>
    <row r="10" spans="1:9" x14ac:dyDescent="0.25">
      <c r="B10" s="1" t="s">
        <v>9</v>
      </c>
      <c r="C10" s="4">
        <v>131273</v>
      </c>
      <c r="D10" s="3">
        <v>138.9</v>
      </c>
      <c r="F10" s="4">
        <f t="shared" si="0"/>
        <v>945089.99280057591</v>
      </c>
    </row>
    <row r="11" spans="1:9" x14ac:dyDescent="0.25">
      <c r="B11" s="1" t="s">
        <v>10</v>
      </c>
      <c r="C11" s="4">
        <v>115892</v>
      </c>
      <c r="D11" s="3">
        <v>124.3</v>
      </c>
      <c r="F11" s="4">
        <f t="shared" si="0"/>
        <v>932357.20032180205</v>
      </c>
    </row>
    <row r="12" spans="1:9" x14ac:dyDescent="0.25">
      <c r="B12" s="1" t="s">
        <v>16</v>
      </c>
      <c r="C12" s="4">
        <v>126653</v>
      </c>
      <c r="D12" s="3">
        <v>135.9</v>
      </c>
      <c r="F12" s="4">
        <f t="shared" si="0"/>
        <v>931957.32155997062</v>
      </c>
    </row>
    <row r="13" spans="1:9" x14ac:dyDescent="0.25">
      <c r="B13" s="1" t="s">
        <v>11</v>
      </c>
      <c r="C13" s="4">
        <v>84368</v>
      </c>
      <c r="D13" s="3">
        <v>93.5</v>
      </c>
      <c r="F13" s="4">
        <f t="shared" si="0"/>
        <v>902331.55080213898</v>
      </c>
    </row>
    <row r="14" spans="1:9" x14ac:dyDescent="0.25">
      <c r="B14" s="1" t="s">
        <v>5</v>
      </c>
      <c r="C14" s="4">
        <v>85317</v>
      </c>
      <c r="D14" s="3">
        <v>94.9</v>
      </c>
      <c r="F14" s="4">
        <f t="shared" si="0"/>
        <v>899020.02107481565</v>
      </c>
    </row>
    <row r="15" spans="1:9" x14ac:dyDescent="0.25">
      <c r="B15" s="1" t="s">
        <v>14</v>
      </c>
      <c r="C15" s="4">
        <v>115729</v>
      </c>
      <c r="D15" s="3">
        <v>129.19999999999999</v>
      </c>
      <c r="F15" s="4">
        <f t="shared" si="0"/>
        <v>895735.29411764711</v>
      </c>
      <c r="I15" s="4"/>
    </row>
    <row r="16" spans="1:9" x14ac:dyDescent="0.25">
      <c r="B16" s="1" t="s">
        <v>20</v>
      </c>
      <c r="C16" s="4">
        <v>102238</v>
      </c>
      <c r="D16" s="3">
        <v>114.2</v>
      </c>
      <c r="F16" s="4">
        <f t="shared" si="0"/>
        <v>895253.94045534148</v>
      </c>
    </row>
    <row r="17" spans="1:6" x14ac:dyDescent="0.25">
      <c r="B17" s="1" t="s">
        <v>12</v>
      </c>
      <c r="C17" s="4">
        <v>37238</v>
      </c>
      <c r="D17" s="3">
        <v>41.6</v>
      </c>
      <c r="F17" s="4">
        <f t="shared" si="0"/>
        <v>895144.23076923075</v>
      </c>
    </row>
    <row r="18" spans="1:6" x14ac:dyDescent="0.25">
      <c r="B18" s="1" t="s">
        <v>22</v>
      </c>
      <c r="C18" s="4">
        <v>44661</v>
      </c>
      <c r="D18" s="3">
        <v>50.9</v>
      </c>
      <c r="F18" s="4">
        <f t="shared" si="0"/>
        <v>877426.32612966606</v>
      </c>
    </row>
    <row r="19" spans="1:6" x14ac:dyDescent="0.25">
      <c r="B19" s="1" t="s">
        <v>8</v>
      </c>
      <c r="C19" s="4">
        <v>53052</v>
      </c>
      <c r="D19" s="3">
        <v>61.9</v>
      </c>
      <c r="F19" s="4">
        <f t="shared" si="0"/>
        <v>857059.77382875606</v>
      </c>
    </row>
    <row r="20" spans="1:6" x14ac:dyDescent="0.25">
      <c r="B20" s="1" t="s">
        <v>18</v>
      </c>
      <c r="C20" s="4">
        <v>79813</v>
      </c>
      <c r="D20" s="3">
        <v>93.4</v>
      </c>
      <c r="F20" s="4">
        <f t="shared" si="0"/>
        <v>854528.90792291216</v>
      </c>
    </row>
    <row r="21" spans="1:6" x14ac:dyDescent="0.25">
      <c r="B21" s="1" t="s">
        <v>19</v>
      </c>
      <c r="C21" s="4">
        <v>77818</v>
      </c>
      <c r="D21" s="3">
        <v>95.1</v>
      </c>
      <c r="F21" s="4">
        <f t="shared" si="0"/>
        <v>818275.49947423767</v>
      </c>
    </row>
    <row r="22" spans="1:6" x14ac:dyDescent="0.25">
      <c r="C22" s="4"/>
      <c r="D22" s="3"/>
      <c r="F22" s="4"/>
    </row>
    <row r="24" spans="1:6" x14ac:dyDescent="0.25">
      <c r="C24" s="1" t="s">
        <v>0</v>
      </c>
    </row>
    <row r="25" spans="1:6" x14ac:dyDescent="0.25">
      <c r="C25" s="1" t="s">
        <v>1</v>
      </c>
      <c r="D25" s="1" t="s">
        <v>2</v>
      </c>
      <c r="F25" s="1" t="s">
        <v>23</v>
      </c>
    </row>
    <row r="26" spans="1:6" x14ac:dyDescent="0.25">
      <c r="A26" s="1" t="s">
        <v>25</v>
      </c>
      <c r="B26" s="1" t="s">
        <v>4</v>
      </c>
      <c r="C26" s="4">
        <v>4852002</v>
      </c>
      <c r="D26" s="3">
        <v>2973.3</v>
      </c>
      <c r="F26" s="4">
        <f>(C26*1000000)/(D26*1000)</f>
        <v>1631857.5320351126</v>
      </c>
    </row>
    <row r="27" spans="1:6" x14ac:dyDescent="0.25">
      <c r="B27" s="1" t="s">
        <v>17</v>
      </c>
      <c r="C27" s="4">
        <v>832563</v>
      </c>
      <c r="D27" s="3">
        <v>544.79999999999995</v>
      </c>
      <c r="F27" s="4">
        <f>(C27*1000000)/(D27*1000)</f>
        <v>1528199.3392070485</v>
      </c>
    </row>
    <row r="28" spans="1:6" x14ac:dyDescent="0.25">
      <c r="B28" s="1" t="s">
        <v>26</v>
      </c>
      <c r="C28" s="4">
        <v>697956</v>
      </c>
      <c r="D28" s="3">
        <v>600.1</v>
      </c>
      <c r="F28" s="4">
        <f>(C28*1000000)/(D28*1000)</f>
        <v>1163066.1556407264</v>
      </c>
    </row>
    <row r="29" spans="1:6" x14ac:dyDescent="0.25">
      <c r="B29" s="1" t="s">
        <v>30</v>
      </c>
      <c r="C29" s="4">
        <v>430813</v>
      </c>
      <c r="D29" s="3">
        <v>348</v>
      </c>
      <c r="F29" s="4">
        <f>(C29*1000000)/(D29*1000)</f>
        <v>1237968.3908045976</v>
      </c>
    </row>
    <row r="30" spans="1:6" x14ac:dyDescent="0.25">
      <c r="B30" s="1" t="s">
        <v>6</v>
      </c>
      <c r="C30" s="4">
        <v>365132</v>
      </c>
      <c r="D30" s="3">
        <v>279.89999999999998</v>
      </c>
      <c r="F30" s="4">
        <f>(C30*1000000)/(D30*1000)</f>
        <v>1304508.7531261165</v>
      </c>
    </row>
    <row r="31" spans="1:6" x14ac:dyDescent="0.25">
      <c r="B31" s="1" t="s">
        <v>13</v>
      </c>
      <c r="C31" s="4">
        <v>295027</v>
      </c>
      <c r="D31" s="3">
        <v>254.5</v>
      </c>
      <c r="F31" s="4">
        <f>(C31*1000000)/(D31*1000)</f>
        <v>1159241.6502946955</v>
      </c>
    </row>
    <row r="32" spans="1:6" x14ac:dyDescent="0.25">
      <c r="B32" s="1" t="s">
        <v>28</v>
      </c>
      <c r="C32" s="4">
        <v>225042</v>
      </c>
      <c r="D32" s="3">
        <v>199.5</v>
      </c>
      <c r="F32" s="4">
        <f>(C32*1000000)/(D32*1000)</f>
        <v>1128030.07518797</v>
      </c>
    </row>
    <row r="33" spans="2:11" x14ac:dyDescent="0.25">
      <c r="B33" s="1" t="s">
        <v>27</v>
      </c>
      <c r="C33" s="4">
        <v>188863</v>
      </c>
      <c r="D33" s="3">
        <v>183.1</v>
      </c>
      <c r="F33" s="4">
        <f>(C33*1000000)/(D33*1000)</f>
        <v>1031474.6040415074</v>
      </c>
    </row>
    <row r="34" spans="2:11" x14ac:dyDescent="0.25">
      <c r="B34" s="1" t="s">
        <v>29</v>
      </c>
      <c r="C34" s="4">
        <v>171191</v>
      </c>
      <c r="D34" s="3">
        <v>151.5</v>
      </c>
      <c r="F34" s="4">
        <f>(C34*1000000)/(D34*1000)</f>
        <v>1129973.597359736</v>
      </c>
    </row>
    <row r="35" spans="2:11" x14ac:dyDescent="0.25">
      <c r="B35" s="1" t="s">
        <v>9</v>
      </c>
      <c r="C35" s="4">
        <v>164197</v>
      </c>
      <c r="D35" s="3">
        <v>140.9</v>
      </c>
      <c r="F35" s="4">
        <f>(C35*1000000)/(D35*1000)</f>
        <v>1165344.2157558552</v>
      </c>
    </row>
    <row r="36" spans="2:11" x14ac:dyDescent="0.25">
      <c r="B36" s="1" t="s">
        <v>31</v>
      </c>
      <c r="C36" s="4">
        <v>148091</v>
      </c>
      <c r="D36" s="3">
        <v>137</v>
      </c>
      <c r="F36" s="4">
        <f>(C36*1000000)/(D36*1000)</f>
        <v>1080956.2043795621</v>
      </c>
    </row>
    <row r="37" spans="2:11" x14ac:dyDescent="0.25">
      <c r="B37" s="1" t="s">
        <v>10</v>
      </c>
      <c r="C37" s="4">
        <v>141406</v>
      </c>
      <c r="D37" s="3">
        <v>124</v>
      </c>
      <c r="F37" s="4">
        <f>(C37*1000000)/(D37*1000)</f>
        <v>1140370.9677419355</v>
      </c>
    </row>
    <row r="38" spans="2:11" x14ac:dyDescent="0.25">
      <c r="C38" s="4"/>
      <c r="F38" s="4"/>
    </row>
    <row r="39" spans="2:11" x14ac:dyDescent="0.25">
      <c r="B39" s="1" t="s">
        <v>32</v>
      </c>
      <c r="C39" s="10">
        <v>86490</v>
      </c>
      <c r="D39" s="9">
        <f>78308/1000</f>
        <v>78.308000000000007</v>
      </c>
      <c r="F39" s="4">
        <f t="shared" ref="F39" si="1">(C39*1000000)/(D39*1000)</f>
        <v>1104484.8546764059</v>
      </c>
    </row>
    <row r="40" spans="2:11" x14ac:dyDescent="0.25">
      <c r="C40" s="4"/>
    </row>
    <row r="41" spans="2:11" x14ac:dyDescent="0.25">
      <c r="C41" s="11" t="s">
        <v>33</v>
      </c>
      <c r="D41" s="12" t="s">
        <v>34</v>
      </c>
    </row>
    <row r="42" spans="2:11" x14ac:dyDescent="0.25">
      <c r="C42" s="4"/>
    </row>
    <row r="43" spans="2:11" x14ac:dyDescent="0.25">
      <c r="C43" s="4"/>
    </row>
    <row r="44" spans="2:11" x14ac:dyDescent="0.25">
      <c r="C44" s="4"/>
    </row>
    <row r="46" spans="2:11" ht="15.75" thickBot="1" x14ac:dyDescent="0.3">
      <c r="J46" s="1" t="s">
        <v>75</v>
      </c>
      <c r="K46" s="1" t="s">
        <v>23</v>
      </c>
    </row>
    <row r="47" spans="2:11" x14ac:dyDescent="0.25">
      <c r="B47" s="1" t="s">
        <v>69</v>
      </c>
      <c r="C47" s="4">
        <v>4852002</v>
      </c>
      <c r="D47" s="3">
        <v>2973.3</v>
      </c>
      <c r="F47" s="4">
        <f t="shared" ref="F47:F55" si="2">(C47*1000000)/(D47*1000)</f>
        <v>1631857.5320351126</v>
      </c>
      <c r="J47" s="16" t="s">
        <v>69</v>
      </c>
      <c r="K47" s="19">
        <v>1631857.5320351126</v>
      </c>
    </row>
    <row r="48" spans="2:11" x14ac:dyDescent="0.25">
      <c r="B48" s="1" t="s">
        <v>70</v>
      </c>
      <c r="C48" s="4">
        <v>832563</v>
      </c>
      <c r="D48" s="3">
        <v>544.79999999999995</v>
      </c>
      <c r="F48" s="4">
        <f t="shared" si="2"/>
        <v>1528199.3392070485</v>
      </c>
      <c r="J48" s="17" t="s">
        <v>70</v>
      </c>
      <c r="K48" s="20">
        <v>1528199.3392070485</v>
      </c>
    </row>
    <row r="49" spans="2:11" x14ac:dyDescent="0.25">
      <c r="B49" s="1" t="s">
        <v>64</v>
      </c>
      <c r="C49" s="4">
        <v>365132</v>
      </c>
      <c r="D49" s="3">
        <v>279.89999999999998</v>
      </c>
      <c r="F49" s="4">
        <f t="shared" si="2"/>
        <v>1304508.7531261165</v>
      </c>
      <c r="J49" s="17" t="s">
        <v>64</v>
      </c>
      <c r="K49" s="20">
        <v>1304508.7531261165</v>
      </c>
    </row>
    <row r="50" spans="2:11" x14ac:dyDescent="0.25">
      <c r="B50" s="1" t="s">
        <v>65</v>
      </c>
      <c r="C50" s="4">
        <v>430813</v>
      </c>
      <c r="D50" s="3">
        <v>348</v>
      </c>
      <c r="F50" s="4">
        <f t="shared" si="2"/>
        <v>1237968.3908045976</v>
      </c>
      <c r="J50" s="17" t="s">
        <v>65</v>
      </c>
      <c r="K50" s="20">
        <v>1237968.3908045976</v>
      </c>
    </row>
    <row r="51" spans="2:11" x14ac:dyDescent="0.25">
      <c r="B51" s="1" t="s">
        <v>66</v>
      </c>
      <c r="C51" s="4">
        <v>164197</v>
      </c>
      <c r="D51" s="3">
        <v>140.9</v>
      </c>
      <c r="F51" s="4">
        <f t="shared" si="2"/>
        <v>1165344.2157558552</v>
      </c>
      <c r="J51" s="17" t="s">
        <v>66</v>
      </c>
      <c r="K51" s="20">
        <v>1165344.2157558552</v>
      </c>
    </row>
    <row r="52" spans="2:11" x14ac:dyDescent="0.25">
      <c r="B52" s="1" t="s">
        <v>71</v>
      </c>
      <c r="C52" s="4">
        <v>697956</v>
      </c>
      <c r="D52" s="3">
        <v>600.1</v>
      </c>
      <c r="F52" s="4">
        <f t="shared" si="2"/>
        <v>1163066.1556407264</v>
      </c>
      <c r="J52" s="17" t="s">
        <v>71</v>
      </c>
      <c r="K52" s="20">
        <v>1163066.1556407264</v>
      </c>
    </row>
    <row r="53" spans="2:11" x14ac:dyDescent="0.25">
      <c r="B53" s="1" t="s">
        <v>72</v>
      </c>
      <c r="C53" s="4">
        <v>295027</v>
      </c>
      <c r="D53" s="3">
        <v>254.5</v>
      </c>
      <c r="F53" s="4">
        <f t="shared" si="2"/>
        <v>1159241.6502946955</v>
      </c>
      <c r="J53" s="17" t="s">
        <v>72</v>
      </c>
      <c r="K53" s="20">
        <v>1159241.6502946955</v>
      </c>
    </row>
    <row r="54" spans="2:11" x14ac:dyDescent="0.25">
      <c r="B54" s="1" t="s">
        <v>73</v>
      </c>
      <c r="C54" s="4">
        <v>141406</v>
      </c>
      <c r="D54" s="3">
        <v>124</v>
      </c>
      <c r="F54" s="4">
        <f t="shared" si="2"/>
        <v>1140370.9677419355</v>
      </c>
      <c r="J54" s="17" t="s">
        <v>73</v>
      </c>
      <c r="K54" s="20">
        <v>1140370.9677419355</v>
      </c>
    </row>
    <row r="55" spans="2:11" x14ac:dyDescent="0.25">
      <c r="B55" s="1" t="s">
        <v>67</v>
      </c>
      <c r="C55" s="4">
        <v>171191</v>
      </c>
      <c r="D55" s="3">
        <v>151.5</v>
      </c>
      <c r="F55" s="4">
        <f t="shared" si="2"/>
        <v>1129973.597359736</v>
      </c>
      <c r="J55" s="17" t="s">
        <v>67</v>
      </c>
      <c r="K55" s="20">
        <v>1129973.597359736</v>
      </c>
    </row>
    <row r="56" spans="2:11" x14ac:dyDescent="0.25">
      <c r="B56" s="1" t="s">
        <v>32</v>
      </c>
      <c r="C56" s="10">
        <v>86490</v>
      </c>
      <c r="D56" s="9">
        <f>78308/1000</f>
        <v>78.308000000000007</v>
      </c>
      <c r="F56" s="4">
        <f t="shared" ref="F56" si="3">(C56*1000000)/(D56*1000)</f>
        <v>1104484.8546764059</v>
      </c>
      <c r="J56" s="17" t="s">
        <v>32</v>
      </c>
      <c r="K56" s="20">
        <v>1104484.8546764059</v>
      </c>
    </row>
    <row r="57" spans="2:11" x14ac:dyDescent="0.25">
      <c r="B57" s="1" t="s">
        <v>74</v>
      </c>
      <c r="C57" s="4">
        <v>148091</v>
      </c>
      <c r="D57" s="3">
        <v>137</v>
      </c>
      <c r="F57" s="4">
        <f>(C57*1000000)/(D57*1000)</f>
        <v>1080956.2043795621</v>
      </c>
      <c r="J57" s="17" t="s">
        <v>74</v>
      </c>
      <c r="K57" s="20">
        <v>1080956.2043795621</v>
      </c>
    </row>
    <row r="58" spans="2:11" ht="15.75" thickBot="1" x14ac:dyDescent="0.3">
      <c r="B58" s="1" t="s">
        <v>68</v>
      </c>
      <c r="C58" s="4">
        <v>188863</v>
      </c>
      <c r="D58" s="3">
        <v>183.1</v>
      </c>
      <c r="F58" s="4">
        <f>(C58*1000000)/(D58*1000)</f>
        <v>1031474.6040415074</v>
      </c>
      <c r="J58" s="18" t="s">
        <v>68</v>
      </c>
      <c r="K58" s="21">
        <v>1031474.6040415074</v>
      </c>
    </row>
    <row r="59" spans="2:11" x14ac:dyDescent="0.25">
      <c r="C59" s="4"/>
      <c r="F59" s="4"/>
    </row>
  </sheetData>
  <sortState xmlns:xlrd2="http://schemas.microsoft.com/office/spreadsheetml/2017/richdata2" ref="B26:F37">
    <sortCondition descending="1" ref="C26:C37"/>
  </sortState>
  <pageMargins left="0.75" right="0.75" top="0.75" bottom="0.5" header="0.5" footer="0.75"/>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21393-1A9B-416E-BF1F-7B4147CE19DD}">
  <dimension ref="A1:G59"/>
  <sheetViews>
    <sheetView workbookViewId="0">
      <selection activeCell="K29" sqref="K29"/>
    </sheetView>
  </sheetViews>
  <sheetFormatPr baseColWidth="10" defaultRowHeight="15" x14ac:dyDescent="0.25"/>
  <cols>
    <col min="2" max="2" width="39.140625" customWidth="1"/>
    <col min="3" max="3" width="47.28515625" bestFit="1" customWidth="1"/>
    <col min="4" max="4" width="31.5703125" bestFit="1" customWidth="1"/>
    <col min="6" max="6" width="18.7109375" customWidth="1"/>
    <col min="7" max="7" width="31.5703125" bestFit="1" customWidth="1"/>
  </cols>
  <sheetData>
    <row r="1" spans="1:7" x14ac:dyDescent="0.25">
      <c r="A1" s="1" t="s">
        <v>1</v>
      </c>
    </row>
    <row r="2" spans="1:7" x14ac:dyDescent="0.25">
      <c r="C2" s="1" t="s">
        <v>60</v>
      </c>
      <c r="D2" s="15" t="s">
        <v>61</v>
      </c>
      <c r="F2" s="1" t="s">
        <v>60</v>
      </c>
      <c r="G2" s="15" t="s">
        <v>61</v>
      </c>
    </row>
    <row r="3" spans="1:7" x14ac:dyDescent="0.25">
      <c r="A3" s="1"/>
      <c r="B3" s="1" t="s">
        <v>57</v>
      </c>
      <c r="C3" s="4">
        <v>455174</v>
      </c>
      <c r="D3" s="13">
        <v>14978.909418900492</v>
      </c>
      <c r="F3" s="14">
        <f t="shared" ref="F3:F27" si="0">C3/C$28</f>
        <v>9.3811585403303629E-2</v>
      </c>
      <c r="G3" s="14">
        <f t="shared" ref="G3:G27" si="1">D3/D$28</f>
        <v>0.17100457960644452</v>
      </c>
    </row>
    <row r="4" spans="1:7" x14ac:dyDescent="0.25">
      <c r="B4" s="1" t="s">
        <v>39</v>
      </c>
      <c r="C4" s="4">
        <v>299246</v>
      </c>
      <c r="D4" s="13">
        <v>11105.87238228549</v>
      </c>
      <c r="F4" s="14">
        <f t="shared" si="0"/>
        <v>6.1674747866962955E-2</v>
      </c>
      <c r="G4" s="14">
        <f t="shared" si="1"/>
        <v>0.1267886055508945</v>
      </c>
    </row>
    <row r="5" spans="1:7" x14ac:dyDescent="0.25">
      <c r="B5" s="1" t="s">
        <v>40</v>
      </c>
      <c r="C5" s="4">
        <v>130911</v>
      </c>
      <c r="D5" s="13">
        <v>10674.401712260256</v>
      </c>
      <c r="F5" s="14">
        <f t="shared" si="0"/>
        <v>2.6980821524805639E-2</v>
      </c>
      <c r="G5" s="14">
        <f t="shared" si="1"/>
        <v>0.12186278228320882</v>
      </c>
    </row>
    <row r="6" spans="1:7" x14ac:dyDescent="0.25">
      <c r="B6" s="1" t="s">
        <v>43</v>
      </c>
      <c r="C6" s="4">
        <v>318519</v>
      </c>
      <c r="D6" s="13">
        <v>7905.8282767580313</v>
      </c>
      <c r="F6" s="14">
        <f t="shared" si="0"/>
        <v>6.5646922651721909E-2</v>
      </c>
      <c r="G6" s="14">
        <f t="shared" si="1"/>
        <v>9.0255759154392809E-2</v>
      </c>
    </row>
    <row r="7" spans="1:7" x14ac:dyDescent="0.25">
      <c r="B7" s="1" t="s">
        <v>42</v>
      </c>
      <c r="C7" s="4">
        <v>250893</v>
      </c>
      <c r="D7" s="13">
        <v>6838.1769314568264</v>
      </c>
      <c r="F7" s="14">
        <f t="shared" si="0"/>
        <v>5.170917077115797E-2</v>
      </c>
      <c r="G7" s="14">
        <f t="shared" si="1"/>
        <v>7.8067070087409388E-2</v>
      </c>
    </row>
    <row r="8" spans="1:7" x14ac:dyDescent="0.25">
      <c r="B8" s="1" t="s">
        <v>56</v>
      </c>
      <c r="C8" s="4">
        <v>210278</v>
      </c>
      <c r="D8" s="13">
        <v>6284.843971411814</v>
      </c>
      <c r="F8" s="14">
        <f t="shared" si="0"/>
        <v>4.3338399283429807E-2</v>
      </c>
      <c r="G8" s="14">
        <f t="shared" si="1"/>
        <v>7.1750023394043877E-2</v>
      </c>
    </row>
    <row r="9" spans="1:7" x14ac:dyDescent="0.25">
      <c r="B9" s="1" t="s">
        <v>55</v>
      </c>
      <c r="C9" s="4">
        <v>280271</v>
      </c>
      <c r="D9" s="13">
        <v>6043.3339775957784</v>
      </c>
      <c r="F9" s="14">
        <f t="shared" si="0"/>
        <v>5.7763991028857778E-2</v>
      </c>
      <c r="G9" s="14">
        <f t="shared" si="1"/>
        <v>6.899285904994587E-2</v>
      </c>
    </row>
    <row r="10" spans="1:7" x14ac:dyDescent="0.25">
      <c r="B10" s="1" t="s">
        <v>52</v>
      </c>
      <c r="C10" s="4">
        <v>339971</v>
      </c>
      <c r="D10" s="13">
        <v>5915.3456717870913</v>
      </c>
      <c r="F10" s="14">
        <f t="shared" si="0"/>
        <v>7.006819040882506E-2</v>
      </c>
      <c r="G10" s="14">
        <f t="shared" si="1"/>
        <v>6.7531698840128537E-2</v>
      </c>
    </row>
    <row r="11" spans="1:7" x14ac:dyDescent="0.25">
      <c r="B11" s="1" t="s">
        <v>53</v>
      </c>
      <c r="C11" s="4">
        <v>210468</v>
      </c>
      <c r="D11" s="13">
        <v>4330.1548896191489</v>
      </c>
      <c r="F11" s="14">
        <f t="shared" si="0"/>
        <v>4.337755837693389E-2</v>
      </c>
      <c r="G11" s="14">
        <f t="shared" si="1"/>
        <v>4.9434594723950634E-2</v>
      </c>
    </row>
    <row r="12" spans="1:7" x14ac:dyDescent="0.25">
      <c r="B12" s="1" t="s">
        <v>50</v>
      </c>
      <c r="C12" s="4">
        <v>186493</v>
      </c>
      <c r="D12" s="13">
        <v>2809.4235091835781</v>
      </c>
      <c r="F12" s="14">
        <f t="shared" si="0"/>
        <v>3.8436299078194937E-2</v>
      </c>
      <c r="G12" s="14">
        <f t="shared" si="1"/>
        <v>3.207338215946464E-2</v>
      </c>
    </row>
    <row r="13" spans="1:7" x14ac:dyDescent="0.25">
      <c r="B13" s="1" t="s">
        <v>58</v>
      </c>
      <c r="C13" s="4">
        <v>79836</v>
      </c>
      <c r="D13" s="13">
        <v>1907.9951029139784</v>
      </c>
      <c r="F13" s="14">
        <f t="shared" si="0"/>
        <v>1.6454238889431622E-2</v>
      </c>
      <c r="G13" s="14">
        <f t="shared" si="1"/>
        <v>2.1782353530575633E-2</v>
      </c>
    </row>
    <row r="14" spans="1:7" x14ac:dyDescent="0.25">
      <c r="B14" s="1" t="s">
        <v>54</v>
      </c>
      <c r="C14" s="4">
        <v>117788</v>
      </c>
      <c r="D14" s="13">
        <v>1846.0107537016891</v>
      </c>
      <c r="F14" s="14">
        <f t="shared" si="0"/>
        <v>2.4276164766626231E-2</v>
      </c>
      <c r="G14" s="14">
        <f t="shared" si="1"/>
        <v>2.1074718062411846E-2</v>
      </c>
    </row>
    <row r="15" spans="1:7" x14ac:dyDescent="0.25">
      <c r="B15" s="1" t="s">
        <v>49</v>
      </c>
      <c r="C15" s="4">
        <v>192758</v>
      </c>
      <c r="D15" s="13">
        <v>1503.9456664207564</v>
      </c>
      <c r="F15" s="14">
        <f t="shared" si="0"/>
        <v>3.972751866136906E-2</v>
      </c>
      <c r="G15" s="14">
        <f t="shared" si="1"/>
        <v>1.7169580858316824E-2</v>
      </c>
    </row>
    <row r="16" spans="1:7" x14ac:dyDescent="0.25">
      <c r="B16" s="1" t="s">
        <v>48</v>
      </c>
      <c r="C16" s="4">
        <v>64059</v>
      </c>
      <c r="D16" s="13">
        <v>1396.5468256752931</v>
      </c>
      <c r="F16" s="14">
        <f t="shared" si="0"/>
        <v>1.3202591425147805E-2</v>
      </c>
      <c r="G16" s="14">
        <f t="shared" si="1"/>
        <v>1.594347733513753E-2</v>
      </c>
    </row>
    <row r="17" spans="2:7" x14ac:dyDescent="0.25">
      <c r="B17" s="1" t="s">
        <v>51</v>
      </c>
      <c r="C17" s="4">
        <v>111005</v>
      </c>
      <c r="D17" s="13">
        <v>1381.0609707418705</v>
      </c>
      <c r="F17" s="14">
        <f t="shared" si="0"/>
        <v>2.2878185128530449E-2</v>
      </c>
      <c r="G17" s="14">
        <f t="shared" si="1"/>
        <v>1.5766685284482971E-2</v>
      </c>
    </row>
    <row r="18" spans="2:7" x14ac:dyDescent="0.25">
      <c r="B18" s="1" t="s">
        <v>41</v>
      </c>
      <c r="C18" s="4">
        <v>31434</v>
      </c>
      <c r="D18" s="13">
        <v>1278.0764550657866</v>
      </c>
      <c r="F18" s="14">
        <f t="shared" si="0"/>
        <v>6.4785628695124197E-3</v>
      </c>
      <c r="G18" s="14">
        <f t="shared" si="1"/>
        <v>1.4590977272860938E-2</v>
      </c>
    </row>
    <row r="19" spans="2:7" x14ac:dyDescent="0.25">
      <c r="B19" s="1" t="s">
        <v>35</v>
      </c>
      <c r="C19" s="4">
        <v>20930</v>
      </c>
      <c r="D19" s="13">
        <v>991.31866215004163</v>
      </c>
      <c r="F19" s="14">
        <f t="shared" si="0"/>
        <v>4.3136833002129843E-3</v>
      </c>
      <c r="G19" s="14">
        <f t="shared" si="1"/>
        <v>1.1317247894101644E-2</v>
      </c>
    </row>
    <row r="20" spans="2:7" x14ac:dyDescent="0.25">
      <c r="B20" s="1" t="s">
        <v>37</v>
      </c>
      <c r="C20" s="4">
        <v>7311</v>
      </c>
      <c r="D20" s="13">
        <v>377.96248564429368</v>
      </c>
      <c r="F20" s="14">
        <f t="shared" si="0"/>
        <v>1.5068006979387066E-3</v>
      </c>
      <c r="G20" s="14">
        <f t="shared" si="1"/>
        <v>4.3149547244777714E-3</v>
      </c>
    </row>
    <row r="21" spans="2:7" x14ac:dyDescent="0.25">
      <c r="B21" s="1" t="s">
        <v>45</v>
      </c>
      <c r="C21" s="4">
        <v>50909</v>
      </c>
      <c r="D21" s="13">
        <v>24.407977444179</v>
      </c>
      <c r="F21" s="14">
        <f t="shared" si="0"/>
        <v>1.0492369953680976E-2</v>
      </c>
      <c r="G21" s="14">
        <f t="shared" si="1"/>
        <v>2.7865018775123803E-4</v>
      </c>
    </row>
    <row r="22" spans="2:7" x14ac:dyDescent="0.25">
      <c r="B22" s="1" t="s">
        <v>59</v>
      </c>
      <c r="C22" s="13">
        <v>0</v>
      </c>
      <c r="D22" s="13">
        <v>0</v>
      </c>
      <c r="F22" s="14">
        <f t="shared" si="0"/>
        <v>0</v>
      </c>
      <c r="G22" s="14">
        <f t="shared" si="1"/>
        <v>0</v>
      </c>
    </row>
    <row r="23" spans="2:7" x14ac:dyDescent="0.25">
      <c r="B23" s="1" t="s">
        <v>36</v>
      </c>
      <c r="C23" s="4">
        <v>66291</v>
      </c>
      <c r="D23" s="13">
        <v>0</v>
      </c>
      <c r="F23" s="14">
        <f t="shared" si="0"/>
        <v>1.3662607723574723E-2</v>
      </c>
      <c r="G23" s="14">
        <f t="shared" si="1"/>
        <v>0</v>
      </c>
    </row>
    <row r="24" spans="2:7" x14ac:dyDescent="0.25">
      <c r="B24" s="1" t="s">
        <v>47</v>
      </c>
      <c r="C24" s="4">
        <v>10833</v>
      </c>
      <c r="D24" s="13">
        <v>0</v>
      </c>
      <c r="F24" s="14">
        <f t="shared" si="0"/>
        <v>2.2326866312091381E-3</v>
      </c>
      <c r="G24" s="14">
        <f t="shared" si="1"/>
        <v>0</v>
      </c>
    </row>
    <row r="25" spans="2:7" x14ac:dyDescent="0.25">
      <c r="B25" s="1" t="s">
        <v>44</v>
      </c>
      <c r="C25" s="4">
        <v>12722</v>
      </c>
      <c r="D25" s="13">
        <v>0</v>
      </c>
      <c r="F25" s="14">
        <f t="shared" si="0"/>
        <v>2.6220104608365782E-3</v>
      </c>
      <c r="G25" s="14">
        <f t="shared" si="1"/>
        <v>0</v>
      </c>
    </row>
    <row r="26" spans="2:7" x14ac:dyDescent="0.25">
      <c r="B26" s="1" t="s">
        <v>46</v>
      </c>
      <c r="C26" s="4">
        <v>113923</v>
      </c>
      <c r="D26" s="13">
        <v>0</v>
      </c>
      <c r="F26" s="14">
        <f t="shared" si="0"/>
        <v>2.3479586364556323E-2</v>
      </c>
      <c r="G26" s="14">
        <f t="shared" si="1"/>
        <v>0</v>
      </c>
    </row>
    <row r="27" spans="2:7" x14ac:dyDescent="0.25">
      <c r="B27" s="1" t="s">
        <v>38</v>
      </c>
      <c r="C27" s="4">
        <v>1289979</v>
      </c>
      <c r="D27" s="13">
        <v>0</v>
      </c>
      <c r="F27" s="14">
        <f t="shared" si="0"/>
        <v>0.26586530673317943</v>
      </c>
      <c r="G27" s="14">
        <f t="shared" si="1"/>
        <v>0</v>
      </c>
    </row>
    <row r="28" spans="2:7" x14ac:dyDescent="0.25">
      <c r="C28" s="4">
        <f>SUM(C3:C27)</f>
        <v>4852002</v>
      </c>
      <c r="D28" s="4">
        <f>SUM(D3:D27)</f>
        <v>87593.615641016397</v>
      </c>
    </row>
    <row r="33" spans="2:4" x14ac:dyDescent="0.25">
      <c r="B33" s="1" t="s">
        <v>62</v>
      </c>
      <c r="C33" s="1" t="s">
        <v>32</v>
      </c>
      <c r="D33" s="1" t="s">
        <v>63</v>
      </c>
    </row>
    <row r="34" spans="2:4" x14ac:dyDescent="0.25">
      <c r="B34" t="s">
        <v>57</v>
      </c>
      <c r="C34" s="2">
        <f>G3*100</f>
        <v>17.100457960644452</v>
      </c>
      <c r="D34" s="2">
        <f>F3*100</f>
        <v>9.3811585403303628</v>
      </c>
    </row>
    <row r="35" spans="2:4" x14ac:dyDescent="0.25">
      <c r="B35" t="s">
        <v>39</v>
      </c>
      <c r="C35" s="2">
        <f t="shared" ref="C35:C46" si="2">G4*100</f>
        <v>12.67886055508945</v>
      </c>
      <c r="D35" s="2">
        <f t="shared" ref="D35:D46" si="3">F4*100</f>
        <v>6.1674747866962951</v>
      </c>
    </row>
    <row r="36" spans="2:4" x14ac:dyDescent="0.25">
      <c r="B36" t="s">
        <v>40</v>
      </c>
      <c r="C36" s="2">
        <f t="shared" si="2"/>
        <v>12.186278228320882</v>
      </c>
      <c r="D36" s="2">
        <f t="shared" si="3"/>
        <v>2.698082152480564</v>
      </c>
    </row>
    <row r="37" spans="2:4" x14ac:dyDescent="0.25">
      <c r="B37" t="s">
        <v>43</v>
      </c>
      <c r="C37" s="2">
        <f t="shared" si="2"/>
        <v>9.0255759154392816</v>
      </c>
      <c r="D37" s="2">
        <f t="shared" si="3"/>
        <v>6.5646922651721908</v>
      </c>
    </row>
    <row r="38" spans="2:4" x14ac:dyDescent="0.25">
      <c r="B38" t="s">
        <v>42</v>
      </c>
      <c r="C38" s="2">
        <f t="shared" si="2"/>
        <v>7.8067070087409389</v>
      </c>
      <c r="D38" s="2">
        <f t="shared" si="3"/>
        <v>5.1709170771157966</v>
      </c>
    </row>
    <row r="39" spans="2:4" x14ac:dyDescent="0.25">
      <c r="B39" t="s">
        <v>56</v>
      </c>
      <c r="C39" s="2">
        <f t="shared" si="2"/>
        <v>7.1750023394043874</v>
      </c>
      <c r="D39" s="2">
        <f t="shared" si="3"/>
        <v>4.3338399283429805</v>
      </c>
    </row>
    <row r="40" spans="2:4" x14ac:dyDescent="0.25">
      <c r="B40" t="s">
        <v>55</v>
      </c>
      <c r="C40" s="2">
        <f t="shared" si="2"/>
        <v>6.8992859049945867</v>
      </c>
      <c r="D40" s="2">
        <f t="shared" si="3"/>
        <v>5.7763991028857777</v>
      </c>
    </row>
    <row r="41" spans="2:4" x14ac:dyDescent="0.25">
      <c r="B41" t="s">
        <v>52</v>
      </c>
      <c r="C41" s="2">
        <f t="shared" si="2"/>
        <v>6.7531698840128538</v>
      </c>
      <c r="D41" s="2">
        <f t="shared" si="3"/>
        <v>7.0068190408825064</v>
      </c>
    </row>
    <row r="42" spans="2:4" x14ac:dyDescent="0.25">
      <c r="B42" t="s">
        <v>53</v>
      </c>
      <c r="C42" s="2">
        <f t="shared" si="2"/>
        <v>4.9434594723950633</v>
      </c>
      <c r="D42" s="2">
        <f t="shared" si="3"/>
        <v>4.3377558376933889</v>
      </c>
    </row>
    <row r="43" spans="2:4" x14ac:dyDescent="0.25">
      <c r="B43" t="s">
        <v>50</v>
      </c>
      <c r="C43" s="2">
        <f t="shared" si="2"/>
        <v>3.2073382159464638</v>
      </c>
      <c r="D43" s="2">
        <f t="shared" si="3"/>
        <v>3.8436299078194938</v>
      </c>
    </row>
    <row r="44" spans="2:4" x14ac:dyDescent="0.25">
      <c r="B44" t="s">
        <v>58</v>
      </c>
      <c r="C44" s="2">
        <f t="shared" si="2"/>
        <v>2.1782353530575631</v>
      </c>
      <c r="D44" s="2">
        <f t="shared" si="3"/>
        <v>1.6454238889431623</v>
      </c>
    </row>
    <row r="45" spans="2:4" x14ac:dyDescent="0.25">
      <c r="B45" t="s">
        <v>54</v>
      </c>
      <c r="C45" s="2">
        <f t="shared" si="2"/>
        <v>2.1074718062411844</v>
      </c>
      <c r="D45" s="2">
        <f t="shared" si="3"/>
        <v>2.4276164766626231</v>
      </c>
    </row>
    <row r="46" spans="2:4" x14ac:dyDescent="0.25">
      <c r="B46" t="s">
        <v>49</v>
      </c>
      <c r="C46" s="2">
        <f t="shared" si="2"/>
        <v>1.7169580858316824</v>
      </c>
      <c r="D46" s="2">
        <f t="shared" si="3"/>
        <v>3.9727518661369059</v>
      </c>
    </row>
    <row r="47" spans="2:4" x14ac:dyDescent="0.25">
      <c r="B47" t="s">
        <v>46</v>
      </c>
      <c r="C47" s="2">
        <f>G26*100</f>
        <v>0</v>
      </c>
      <c r="D47" s="2">
        <f>F26*100</f>
        <v>2.3479586364556324</v>
      </c>
    </row>
    <row r="48" spans="2:4" x14ac:dyDescent="0.25">
      <c r="C48" s="2"/>
      <c r="D48" s="2"/>
    </row>
    <row r="49" spans="2:4" x14ac:dyDescent="0.25">
      <c r="B49" t="s">
        <v>48</v>
      </c>
      <c r="C49" s="2">
        <f t="shared" ref="C49:C58" si="4">G16*100</f>
        <v>1.594347733513753</v>
      </c>
      <c r="D49" s="2">
        <f t="shared" ref="D49:D58" si="5">F16*100</f>
        <v>1.3202591425147805</v>
      </c>
    </row>
    <row r="50" spans="2:4" x14ac:dyDescent="0.25">
      <c r="B50" t="s">
        <v>51</v>
      </c>
      <c r="C50" s="2">
        <f t="shared" si="4"/>
        <v>1.5766685284482971</v>
      </c>
      <c r="D50" s="2">
        <f t="shared" si="5"/>
        <v>2.287818512853045</v>
      </c>
    </row>
    <row r="51" spans="2:4" x14ac:dyDescent="0.25">
      <c r="B51" t="s">
        <v>41</v>
      </c>
      <c r="C51" s="2">
        <f t="shared" si="4"/>
        <v>1.4590977272860939</v>
      </c>
      <c r="D51" s="2">
        <f t="shared" si="5"/>
        <v>0.64785628695124198</v>
      </c>
    </row>
    <row r="52" spans="2:4" x14ac:dyDescent="0.25">
      <c r="B52" t="s">
        <v>35</v>
      </c>
      <c r="C52" s="2">
        <f t="shared" si="4"/>
        <v>1.1317247894101645</v>
      </c>
      <c r="D52" s="2">
        <f t="shared" si="5"/>
        <v>0.43136833002129843</v>
      </c>
    </row>
    <row r="53" spans="2:4" x14ac:dyDescent="0.25">
      <c r="B53" t="s">
        <v>37</v>
      </c>
      <c r="C53" s="2">
        <f t="shared" si="4"/>
        <v>0.43149547244777714</v>
      </c>
      <c r="D53" s="2">
        <f t="shared" si="5"/>
        <v>0.15068006979387066</v>
      </c>
    </row>
    <row r="54" spans="2:4" x14ac:dyDescent="0.25">
      <c r="B54" t="s">
        <v>45</v>
      </c>
      <c r="C54" s="2">
        <f t="shared" si="4"/>
        <v>2.7865018775123804E-2</v>
      </c>
      <c r="D54" s="2">
        <f t="shared" si="5"/>
        <v>1.0492369953680976</v>
      </c>
    </row>
    <row r="55" spans="2:4" x14ac:dyDescent="0.25">
      <c r="B55" t="s">
        <v>59</v>
      </c>
      <c r="C55" s="2">
        <f t="shared" si="4"/>
        <v>0</v>
      </c>
      <c r="D55" s="2">
        <f t="shared" si="5"/>
        <v>0</v>
      </c>
    </row>
    <row r="56" spans="2:4" x14ac:dyDescent="0.25">
      <c r="B56" t="s">
        <v>36</v>
      </c>
      <c r="C56" s="2">
        <f t="shared" si="4"/>
        <v>0</v>
      </c>
      <c r="D56" s="2">
        <f t="shared" si="5"/>
        <v>1.3662607723574722</v>
      </c>
    </row>
    <row r="57" spans="2:4" x14ac:dyDescent="0.25">
      <c r="B57" t="s">
        <v>47</v>
      </c>
      <c r="C57" s="2">
        <f t="shared" si="4"/>
        <v>0</v>
      </c>
      <c r="D57" s="2">
        <f t="shared" si="5"/>
        <v>0.22326866312091381</v>
      </c>
    </row>
    <row r="58" spans="2:4" x14ac:dyDescent="0.25">
      <c r="B58" t="s">
        <v>44</v>
      </c>
      <c r="C58" s="2">
        <f t="shared" si="4"/>
        <v>0</v>
      </c>
      <c r="D58" s="2">
        <f t="shared" si="5"/>
        <v>0.2622010460836578</v>
      </c>
    </row>
    <row r="59" spans="2:4" x14ac:dyDescent="0.25">
      <c r="B59" t="s">
        <v>38</v>
      </c>
      <c r="C59" s="2">
        <f>G27*100</f>
        <v>0</v>
      </c>
      <c r="D59" s="2">
        <f>F27*100</f>
        <v>26.586530673317942</v>
      </c>
    </row>
  </sheetData>
  <sortState xmlns:xlrd2="http://schemas.microsoft.com/office/spreadsheetml/2017/richdata2" ref="B3:G27">
    <sortCondition descending="1" ref="G3:G27"/>
  </sortState>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7B4FA-53B9-4BFC-8D49-EA6AADC67EAF}">
  <dimension ref="A1:P24"/>
  <sheetViews>
    <sheetView workbookViewId="0">
      <selection activeCell="E38" sqref="E38"/>
    </sheetView>
  </sheetViews>
  <sheetFormatPr baseColWidth="10" defaultRowHeight="15" x14ac:dyDescent="0.25"/>
  <cols>
    <col min="4" max="4" width="21.140625" customWidth="1"/>
    <col min="5" max="5" width="22.140625" customWidth="1"/>
    <col min="6" max="6" width="14.85546875" customWidth="1"/>
    <col min="7" max="7" width="19.140625" customWidth="1"/>
    <col min="8" max="8" width="25.5703125" customWidth="1"/>
    <col min="9" max="9" width="19.140625" customWidth="1"/>
    <col min="10" max="10" width="22" customWidth="1"/>
    <col min="11" max="11" width="18.140625" customWidth="1"/>
  </cols>
  <sheetData>
    <row r="1" spans="1:16" x14ac:dyDescent="0.25">
      <c r="A1" t="s">
        <v>88</v>
      </c>
    </row>
    <row r="2" spans="1:16" x14ac:dyDescent="0.25">
      <c r="A2" t="s">
        <v>89</v>
      </c>
    </row>
    <row r="4" spans="1:16" x14ac:dyDescent="0.25">
      <c r="D4" s="1" t="s">
        <v>4</v>
      </c>
      <c r="F4" s="1" t="s">
        <v>21</v>
      </c>
      <c r="H4" s="1" t="s">
        <v>87</v>
      </c>
      <c r="J4" s="1"/>
    </row>
    <row r="5" spans="1:16" x14ac:dyDescent="0.25">
      <c r="D5" s="1" t="s">
        <v>1</v>
      </c>
      <c r="E5" s="1" t="s">
        <v>2</v>
      </c>
      <c r="F5" s="1" t="s">
        <v>1</v>
      </c>
      <c r="G5" s="1" t="s">
        <v>2</v>
      </c>
      <c r="H5" s="1" t="s">
        <v>1</v>
      </c>
      <c r="I5" s="1" t="s">
        <v>2</v>
      </c>
      <c r="J5" s="1" t="s">
        <v>90</v>
      </c>
      <c r="K5" s="1"/>
    </row>
    <row r="6" spans="1:16" x14ac:dyDescent="0.25">
      <c r="C6" s="22" t="s">
        <v>76</v>
      </c>
      <c r="D6" s="2">
        <v>2579572</v>
      </c>
      <c r="E6" s="3">
        <v>2592.4</v>
      </c>
      <c r="F6" s="2">
        <v>53561</v>
      </c>
      <c r="G6" s="3">
        <v>76.5</v>
      </c>
      <c r="H6" s="3"/>
      <c r="I6" s="3"/>
      <c r="J6" s="2">
        <v>76691</v>
      </c>
      <c r="K6" s="3"/>
    </row>
    <row r="7" spans="1:16" x14ac:dyDescent="0.25">
      <c r="C7" s="22" t="s">
        <v>77</v>
      </c>
      <c r="D7" s="2">
        <v>2745949</v>
      </c>
      <c r="E7" s="3">
        <v>2645.3</v>
      </c>
      <c r="F7" s="2">
        <v>55027</v>
      </c>
      <c r="G7" s="3">
        <v>77.2</v>
      </c>
      <c r="H7" s="3"/>
      <c r="I7" s="3"/>
      <c r="J7" s="2">
        <v>76607</v>
      </c>
      <c r="K7" s="3"/>
    </row>
    <row r="8" spans="1:16" x14ac:dyDescent="0.25">
      <c r="C8" s="22" t="s">
        <v>78</v>
      </c>
      <c r="D8" s="2">
        <v>2851403</v>
      </c>
      <c r="E8" s="3">
        <v>2675.6</v>
      </c>
      <c r="F8" s="2">
        <v>57702</v>
      </c>
      <c r="G8" s="3">
        <v>76.5</v>
      </c>
      <c r="H8" s="3"/>
      <c r="I8" s="3"/>
      <c r="J8" s="2">
        <v>76460</v>
      </c>
      <c r="K8" s="3"/>
    </row>
    <row r="9" spans="1:16" x14ac:dyDescent="0.25">
      <c r="C9" s="22" t="s">
        <v>79</v>
      </c>
      <c r="D9" s="2">
        <v>2918347</v>
      </c>
      <c r="E9" s="3">
        <v>2701.5</v>
      </c>
      <c r="F9" s="2">
        <v>59939</v>
      </c>
      <c r="G9" s="3">
        <v>77.2</v>
      </c>
      <c r="H9" s="3"/>
      <c r="I9" s="3"/>
      <c r="J9" s="2">
        <v>76279</v>
      </c>
      <c r="K9" s="3"/>
    </row>
    <row r="10" spans="1:16" x14ac:dyDescent="0.25">
      <c r="C10" s="22" t="s">
        <v>80</v>
      </c>
      <c r="D10" s="2">
        <v>2888741</v>
      </c>
      <c r="E10" s="3">
        <v>2712.3</v>
      </c>
      <c r="F10" s="2">
        <v>65030</v>
      </c>
      <c r="G10" s="3">
        <v>76.599999999999994</v>
      </c>
      <c r="H10" s="3"/>
      <c r="I10" s="3"/>
      <c r="J10" s="2">
        <v>74318</v>
      </c>
      <c r="K10" s="3"/>
      <c r="O10" s="23">
        <v>1710833.3054784904</v>
      </c>
      <c r="P10" s="23">
        <v>2179677.39821671</v>
      </c>
    </row>
    <row r="11" spans="1:16" x14ac:dyDescent="0.25">
      <c r="C11" s="22" t="s">
        <v>81</v>
      </c>
      <c r="D11" s="2">
        <v>2861124</v>
      </c>
      <c r="E11" s="3">
        <v>2719.8</v>
      </c>
      <c r="F11" s="2">
        <v>65265</v>
      </c>
      <c r="G11" s="3">
        <v>77.400000000000006</v>
      </c>
      <c r="H11" s="3"/>
      <c r="I11" s="3"/>
      <c r="J11" s="2">
        <v>75188</v>
      </c>
      <c r="K11" s="3"/>
      <c r="O11" s="23">
        <v>1610622.3847649172</v>
      </c>
      <c r="P11" s="23">
        <v>1953251.890383743</v>
      </c>
    </row>
    <row r="12" spans="1:16" x14ac:dyDescent="0.25">
      <c r="C12" s="22" t="s">
        <v>82</v>
      </c>
      <c r="D12" s="2">
        <v>3062742</v>
      </c>
      <c r="E12" s="3">
        <v>2751.4</v>
      </c>
      <c r="F12" s="2">
        <v>68524</v>
      </c>
      <c r="G12" s="3">
        <v>78.5</v>
      </c>
      <c r="H12" s="3"/>
      <c r="I12" s="3"/>
      <c r="J12" s="2">
        <v>75640</v>
      </c>
      <c r="K12" s="3"/>
      <c r="O12" s="23">
        <v>1665760.5177993528</v>
      </c>
      <c r="P12" s="23">
        <v>2018203.6904564265</v>
      </c>
    </row>
    <row r="13" spans="1:16" x14ac:dyDescent="0.25">
      <c r="C13" s="22" t="s">
        <v>83</v>
      </c>
      <c r="D13" s="2">
        <v>3304588</v>
      </c>
      <c r="E13" s="3">
        <v>2796.9</v>
      </c>
      <c r="F13" s="2">
        <v>74486</v>
      </c>
      <c r="G13" s="3">
        <v>79</v>
      </c>
      <c r="H13" s="6">
        <v>70772</v>
      </c>
      <c r="I13" s="3"/>
      <c r="J13" s="2">
        <v>75752</v>
      </c>
      <c r="K13" s="3"/>
      <c r="O13" s="23">
        <v>1605592.2788070634</v>
      </c>
      <c r="P13" s="23">
        <v>2054869.5298368081</v>
      </c>
    </row>
    <row r="14" spans="1:16" x14ac:dyDescent="0.25">
      <c r="C14" s="22" t="s">
        <v>3</v>
      </c>
      <c r="D14" s="2">
        <v>3334714</v>
      </c>
      <c r="E14" s="3">
        <v>2841.1</v>
      </c>
      <c r="F14" s="2">
        <v>77157</v>
      </c>
      <c r="G14" s="3">
        <v>79.3</v>
      </c>
      <c r="H14" s="6">
        <v>72842</v>
      </c>
      <c r="I14" s="3"/>
      <c r="J14" s="2">
        <v>76180</v>
      </c>
      <c r="K14" s="3"/>
      <c r="O14" s="23">
        <v>1566015.5330666038</v>
      </c>
      <c r="P14" s="23">
        <v>2045932.4030723094</v>
      </c>
    </row>
    <row r="15" spans="1:16" x14ac:dyDescent="0.25">
      <c r="C15" s="22" t="s">
        <v>84</v>
      </c>
      <c r="D15" s="2">
        <v>3195302</v>
      </c>
      <c r="E15" s="3">
        <v>2799</v>
      </c>
      <c r="F15" s="2">
        <v>0</v>
      </c>
      <c r="G15" s="3">
        <v>0</v>
      </c>
      <c r="H15" s="6">
        <v>71586.021704013605</v>
      </c>
      <c r="I15" s="3"/>
      <c r="J15" s="2">
        <v>75756</v>
      </c>
      <c r="K15" s="3"/>
      <c r="O15" s="23">
        <v>1578232.0629707233</v>
      </c>
      <c r="P15" s="23">
        <v>2001764.9908532838</v>
      </c>
    </row>
    <row r="16" spans="1:16" x14ac:dyDescent="0.25">
      <c r="C16" s="22" t="s">
        <v>85</v>
      </c>
      <c r="D16" s="2">
        <v>4051026</v>
      </c>
      <c r="E16" s="3">
        <v>2829.4</v>
      </c>
      <c r="F16" s="2">
        <v>0</v>
      </c>
      <c r="G16" s="3">
        <v>0</v>
      </c>
      <c r="H16" s="6">
        <v>80769.662593712448</v>
      </c>
      <c r="I16" s="3"/>
      <c r="J16" s="2">
        <v>77084</v>
      </c>
      <c r="K16" s="3"/>
      <c r="O16" s="23">
        <v>1573446.7899416352</v>
      </c>
      <c r="P16" s="24">
        <v>1961905.7590316168</v>
      </c>
    </row>
    <row r="17" spans="3:16" x14ac:dyDescent="0.25">
      <c r="C17" s="22" t="s">
        <v>86</v>
      </c>
      <c r="D17" s="2">
        <v>5510086</v>
      </c>
      <c r="E17" s="3">
        <v>2937.6</v>
      </c>
      <c r="F17" s="2">
        <v>0</v>
      </c>
      <c r="G17" s="3">
        <v>0</v>
      </c>
      <c r="H17" s="6">
        <v>89798.138011017669</v>
      </c>
      <c r="I17" s="3"/>
      <c r="J17" s="2">
        <v>77563</v>
      </c>
      <c r="K17" s="3"/>
      <c r="O17" s="23">
        <v>1669979.373710857</v>
      </c>
      <c r="P17" s="24">
        <v>1876278.5645349517</v>
      </c>
    </row>
    <row r="18" spans="3:16" x14ac:dyDescent="0.25">
      <c r="C18" s="22" t="s">
        <v>25</v>
      </c>
      <c r="D18" s="2">
        <v>4852002</v>
      </c>
      <c r="E18" s="3">
        <v>2973.3</v>
      </c>
      <c r="F18" s="2">
        <v>0</v>
      </c>
      <c r="G18" s="3">
        <v>0</v>
      </c>
      <c r="H18" s="6">
        <v>86489.867636309529</v>
      </c>
      <c r="I18" s="6">
        <v>77.628</v>
      </c>
      <c r="J18" s="2">
        <v>78308</v>
      </c>
      <c r="K18" s="3"/>
      <c r="O18" s="23">
        <v>1611947.2339107313</v>
      </c>
      <c r="P18" s="24">
        <v>1825772.0013771551</v>
      </c>
    </row>
    <row r="19" spans="3:16" x14ac:dyDescent="0.25">
      <c r="C19" s="22">
        <v>2024</v>
      </c>
      <c r="H19" s="6">
        <v>87593.615641016397</v>
      </c>
      <c r="I19" s="6">
        <v>78.225999999999999</v>
      </c>
      <c r="J19">
        <v>78849</v>
      </c>
      <c r="O19" s="23">
        <v>1630374.635459508</v>
      </c>
      <c r="P19" s="24">
        <v>1889751.9918294442</v>
      </c>
    </row>
    <row r="20" spans="3:16" x14ac:dyDescent="0.25">
      <c r="J20">
        <v>78857</v>
      </c>
      <c r="O20" s="23">
        <v>1675394.1574736044</v>
      </c>
      <c r="P20" s="24">
        <v>1942985.5793550403</v>
      </c>
    </row>
    <row r="21" spans="3:16" x14ac:dyDescent="0.25">
      <c r="O21" s="23">
        <v>1632642.9980276134</v>
      </c>
      <c r="P21" s="24">
        <v>1845262.6775064373</v>
      </c>
    </row>
    <row r="22" spans="3:16" x14ac:dyDescent="0.25">
      <c r="O22" s="23">
        <v>1635830.4120641444</v>
      </c>
      <c r="P22" s="24">
        <v>1759830.5351059502</v>
      </c>
    </row>
    <row r="23" spans="3:16" x14ac:dyDescent="0.25">
      <c r="O23" s="23">
        <v>1729612.6948808881</v>
      </c>
      <c r="P23" s="24">
        <v>2112373.7627132251</v>
      </c>
    </row>
    <row r="24" spans="3:16" x14ac:dyDescent="0.25">
      <c r="O24" s="23">
        <v>1780530.3206833072</v>
      </c>
      <c r="P24" s="24">
        <v>2654965.1967051416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Totalt for næringer</vt:lpstr>
      <vt:lpstr>Fordelt på næringer</vt:lpstr>
      <vt:lpstr>Produktivitet - avventer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Even Sannes Riiser</dc:creator>
  <cp:lastModifiedBy>Even Sannes Riiser</cp:lastModifiedBy>
  <dcterms:created xsi:type="dcterms:W3CDTF">2026-08-07T10:01:29Z</dcterms:created>
  <dcterms:modified xsi:type="dcterms:W3CDTF">2026-08-11T09:59:15Z</dcterms:modified>
</cp:coreProperties>
</file>