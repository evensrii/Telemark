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0.xml" ContentType="application/vnd.openxmlformats-officedocument.spreadsheetml.table+xml"/>
  <Override PartName="/xl/queryTables/queryTable1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telemarkfylke-my.sharepoint.com/personal/even_sannes_riiser_telemarkfylke_no/Documents/Github/Telemark/Data/Bystrategi_Grenland/Trafikk/"/>
    </mc:Choice>
  </mc:AlternateContent>
  <xr:revisionPtr revIDLastSave="182" documentId="8_{C486BCD8-EC38-40D7-AC54-C58C813A2EB7}" xr6:coauthVersionLast="47" xr6:coauthVersionMax="47" xr10:uidLastSave="{ED121668-3B37-40E1-81A9-3A0A50AB2294}"/>
  <bookViews>
    <workbookView xWindow="19740" yWindow="0" windowWidth="37290" windowHeight="20985" xr2:uid="{00000000-000D-0000-FFFF-FFFF00000000}"/>
  </bookViews>
  <sheets>
    <sheet name="Tables" sheetId="3" r:id="rId1"/>
    <sheet name="Tidsserie indikatorverdi" sheetId="10" r:id="rId2"/>
    <sheet name="Tilgang parkering" sheetId="9" r:id="rId3"/>
    <sheet name="Betale for parkering" sheetId="4" r:id="rId4"/>
    <sheet name="Gratis parkering" sheetId="6" r:id="rId5"/>
    <sheet name="Yrkesaktiv" sheetId="5" r:id="rId6"/>
  </sheets>
  <definedNames>
    <definedName name="EksterneData_1" localSheetId="2" hidden="1">'Tilgang parkering'!$A$1:$D$101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3" l="1"/>
  <c r="L20" i="3"/>
  <c r="K21" i="3"/>
  <c r="M21" i="3"/>
  <c r="N21" i="3"/>
  <c r="J21" i="3"/>
  <c r="K22" i="3"/>
  <c r="M22" i="3"/>
  <c r="N22" i="3"/>
  <c r="K20" i="3"/>
  <c r="M20" i="3"/>
  <c r="N20" i="3"/>
  <c r="J20" i="3"/>
  <c r="J22" i="3"/>
  <c r="N23" i="3"/>
  <c r="K23" i="3"/>
  <c r="M23" i="3"/>
  <c r="J2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F63AB6-93E5-41B8-BCD3-E1DEFF8D8E51}" keepAlive="1" name="Spørring - Tilgang parkering" description="Tilkobling til spørringen Tilgang parkering i arbeidsboken." type="5" refreshedVersion="8" background="1" saveData="1">
    <dbPr connection="Provider=Microsoft.Mashup.OleDb.1;Data Source=$Workbook$;Location=&quot;Tilgang parkering&quot;;Extended Properties=&quot;&quot;" command="SELECT * FROM [Tilgang parkering]"/>
  </connection>
</connections>
</file>

<file path=xl/sharedStrings.xml><?xml version="1.0" encoding="utf-8"?>
<sst xmlns="http://schemas.openxmlformats.org/spreadsheetml/2006/main" count="490" uniqueCount="53">
  <si>
    <t>Porsgrunn</t>
  </si>
  <si>
    <t>Skien</t>
  </si>
  <si>
    <t>Siljan</t>
  </si>
  <si>
    <t>Bamble</t>
  </si>
  <si>
    <t>NET</t>
  </si>
  <si>
    <t>Column n</t>
  </si>
  <si>
    <t>Population</t>
  </si>
  <si>
    <t>2019</t>
  </si>
  <si>
    <t>2020</t>
  </si>
  <si>
    <t>2024</t>
  </si>
  <si>
    <t>Ja</t>
  </si>
  <si>
    <t>Nei</t>
  </si>
  <si>
    <t>Vet ikke</t>
  </si>
  <si>
    <t>Selected</t>
  </si>
  <si>
    <t>indikator_gratis_parkering</t>
  </si>
  <si>
    <t>GRENLAND</t>
  </si>
  <si>
    <t xml:space="preserve"> </t>
  </si>
  <si>
    <t>Yrkessaktiv by Hjemkommune.2019</t>
  </si>
  <si>
    <t>Må du betale for å parkere der by Hjemkommune.2019</t>
  </si>
  <si>
    <t>Yrkessaktiv by Hjemkommune.grenland.2020</t>
  </si>
  <si>
    <t>Må du betale for å parkere der by Hjemkommune.grenland.2020</t>
  </si>
  <si>
    <t>Yrkessaktiv by Hjemkommune.grenland.2024</t>
  </si>
  <si>
    <t>Må du betale for å parkere der by Hjemkommune.grenland.2024</t>
  </si>
  <si>
    <t>TIDSSERIE INDIKATORVERDI</t>
  </si>
  <si>
    <t>Må du betale for å parkere der? by BOSTED_Kommunenummer</t>
  </si>
  <si>
    <t>Yrkessaktiv by BOSTED_Kommunenummer</t>
  </si>
  <si>
    <t>Filter: bYLYWS: Grenland (Porsgrunn, Skien, Siljan, Bamble) AND Yrkessaktiv: Yrkessaktiv; Weight: Vekt_Grenland: Weight Grenland: kommune alder kjønn reiedag;</t>
  </si>
  <si>
    <t xml:space="preserve">Filter: bYLYWS: Grenland (Porsgrunn, Skien, Siljan, Bamble) AND Yrkessaktiv: Yrkessaktiv; Weight: Vekt_Grenland: Weight Grenland: kommune alder kjønn reiedag; </t>
  </si>
  <si>
    <t>Indikator</t>
  </si>
  <si>
    <t>Yrkesaktive</t>
  </si>
  <si>
    <t>Gratis.parkering</t>
  </si>
  <si>
    <t>indikator_gratis_parkering.2019</t>
  </si>
  <si>
    <t>Filter: yrkesaktiv: Yrkessaktiv AND bYLYWS: Grenland (Porsgrunn, Skien, Siljan, Bamble) AND year2019: 2019; Weight: Vekt_Grenland: Vekt_Grenland; Some empty rows or columns have been removed</t>
  </si>
  <si>
    <t>indikator_gratis_parkering.2020</t>
  </si>
  <si>
    <t>Filter: yrkesaktiv: Yrkessaktiv AND bYLYWS: Grenland (Porsgrunn, Skien, Siljan, Bamble) AND year2020: 2020; Weight: Vekt_Grenland: Vekt_Grenland; Some empty rows or columns have been removed</t>
  </si>
  <si>
    <t>indikator_gratis_parkering.2024</t>
  </si>
  <si>
    <t>Filter: yrkesaktiv: Yrkessaktiv AND bYLYWS: Grenland (Porsgrunn, Skien, Siljan, Bamble) AND year2024: 2024; Weight: Vekt_Grenland: Vekt_Grenland; Some empty rows or columns have been removed</t>
  </si>
  <si>
    <t>JOBB_P1: Hvis du skal kjøre bil til arbeid, har du mulighet for å parkere på parkeringsplass som arbeidsgiver disponerer</t>
  </si>
  <si>
    <t>Hvis JA:</t>
  </si>
  <si>
    <t>JOBB_P3: Må du betale for å parkere der</t>
  </si>
  <si>
    <t>Vektet antall yrkesaktive med fast oppmøteted, førerkort, biltilgang og gratis parkering på jobb</t>
  </si>
  <si>
    <t>Vektet antall</t>
  </si>
  <si>
    <t>delt på vektet antall yrkesaktive</t>
  </si>
  <si>
    <t>Spørsmål stilt til yrkesaktive med fast oppmøtested, førerkort, med bil i husstanden:</t>
  </si>
  <si>
    <t>Grenland</t>
  </si>
  <si>
    <t xml:space="preserve">INDIKATOR Parkering på jobb: </t>
  </si>
  <si>
    <t>indikatoren forteller altså noe om hvor stor andel av de yrkesaktive i kommunen som har anledning til å kjøre til jobb og parkere gratis</t>
  </si>
  <si>
    <t>INDIKATOR FOR GRATIS PARKERING PÅ JOBB</t>
  </si>
  <si>
    <t>År</t>
  </si>
  <si>
    <t>Svar</t>
  </si>
  <si>
    <t>Sted</t>
  </si>
  <si>
    <t>Antall</t>
  </si>
  <si>
    <t>Årstall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</si>
</sst>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24">
    <xf numFmtId="0" fontId="0" fillId="0" borderId="0" xfId="0" quotePrefix="1"/>
    <xf numFmtId="0" fontId="0" fillId="0" borderId="0" xfId="0" quotePrefix="1" applyAlignment="1">
      <alignment wrapText="1"/>
    </xf>
    <xf numFmtId="164" fontId="0" fillId="0" borderId="0" xfId="0" applyNumberFormat="1"/>
    <xf numFmtId="2" fontId="0" fillId="0" borderId="0" xfId="0" applyNumberFormat="1"/>
    <xf numFmtId="0" fontId="4" fillId="3" borderId="0" xfId="0" quotePrefix="1" applyFont="1" applyFill="1"/>
    <xf numFmtId="0" fontId="2" fillId="3" borderId="0" xfId="0" quotePrefix="1" applyFont="1" applyFill="1"/>
    <xf numFmtId="0" fontId="1" fillId="2" borderId="1" xfId="0" quotePrefix="1" applyFont="1" applyFill="1" applyBorder="1"/>
    <xf numFmtId="0" fontId="1" fillId="0" borderId="1" xfId="0" quotePrefix="1" applyFont="1" applyBorder="1"/>
    <xf numFmtId="0" fontId="1" fillId="0" borderId="2" xfId="0" quotePrefix="1" applyFont="1" applyBorder="1" applyAlignment="1">
      <alignment wrapText="1"/>
    </xf>
    <xf numFmtId="164" fontId="0" fillId="2" borderId="1" xfId="0" applyNumberFormat="1" applyFill="1" applyBorder="1"/>
    <xf numFmtId="164" fontId="0" fillId="0" borderId="1" xfId="0" applyNumberFormat="1" applyBorder="1"/>
    <xf numFmtId="0" fontId="5" fillId="0" borderId="0" xfId="0" quotePrefix="1" applyFont="1"/>
    <xf numFmtId="0" fontId="6" fillId="0" borderId="0" xfId="0" quotePrefix="1" applyFont="1"/>
    <xf numFmtId="0" fontId="7" fillId="0" borderId="0" xfId="0" quotePrefix="1" applyFont="1"/>
    <xf numFmtId="164" fontId="3" fillId="0" borderId="0" xfId="0" applyNumberFormat="1" applyFont="1"/>
    <xf numFmtId="164" fontId="3" fillId="2" borderId="1" xfId="0" applyNumberFormat="1" applyFont="1" applyFill="1" applyBorder="1"/>
    <xf numFmtId="0" fontId="8" fillId="0" borderId="0" xfId="0" quotePrefix="1" applyFont="1"/>
    <xf numFmtId="0" fontId="5" fillId="0" borderId="0" xfId="0" quotePrefix="1" applyFont="1" applyAlignment="1">
      <alignment horizontal="left" wrapText="1"/>
    </xf>
    <xf numFmtId="0" fontId="0" fillId="0" borderId="0" xfId="0" quotePrefix="1" applyAlignment="1">
      <alignment horizontal="left" wrapText="1"/>
    </xf>
    <xf numFmtId="0" fontId="0" fillId="0" borderId="3" xfId="0" quotePrefix="1" applyBorder="1" applyAlignment="1">
      <alignment horizontal="left" wrapText="1"/>
    </xf>
    <xf numFmtId="0" fontId="1" fillId="0" borderId="2" xfId="0" quotePrefix="1" applyFont="1" applyBorder="1"/>
    <xf numFmtId="0" fontId="0" fillId="2" borderId="1" xfId="0" quotePrefix="1" applyFont="1" applyFill="1" applyBorder="1"/>
    <xf numFmtId="0" fontId="0" fillId="0" borderId="1" xfId="0" quotePrefix="1" applyFont="1" applyBorder="1"/>
    <xf numFmtId="0" fontId="0" fillId="0" borderId="0" xfId="0" quotePrefix="1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Indeksverdi:</a:t>
            </a:r>
            <a:r>
              <a:rPr lang="nb-NO" baseline="0"/>
              <a:t> gratis parkering på jobb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6.2598668372135999E-2"/>
          <c:y val="0.12326354270521768"/>
          <c:w val="0.72739515497560947"/>
          <c:h val="0.72361786032977182"/>
        </c:manualLayout>
      </c:layout>
      <c:lineChart>
        <c:grouping val="standard"/>
        <c:varyColors val="0"/>
        <c:ser>
          <c:idx val="0"/>
          <c:order val="0"/>
          <c:tx>
            <c:strRef>
              <c:f>Tables!$J$19</c:f>
              <c:strCache>
                <c:ptCount val="1"/>
                <c:pt idx="0">
                  <c:v>Porsgrunn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Tables!$I$20:$I$23</c:f>
              <c:numCache>
                <c:formatCode>General</c:formatCode>
                <c:ptCount val="4"/>
                <c:pt idx="0">
                  <c:v>2019</c:v>
                </c:pt>
                <c:pt idx="1">
                  <c:v>2020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Tables!$J$20:$J$23</c:f>
              <c:numCache>
                <c:formatCode>0.0</c:formatCode>
                <c:ptCount val="4"/>
                <c:pt idx="0">
                  <c:v>72.199457710070007</c:v>
                </c:pt>
                <c:pt idx="1">
                  <c:v>59.185933480320003</c:v>
                </c:pt>
                <c:pt idx="2">
                  <c:v>71.875164288020002</c:v>
                </c:pt>
                <c:pt idx="3">
                  <c:v>62.783768224299997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68-45AF-8F69-4E77D97703EB}"/>
            </c:ext>
          </c:extLst>
        </c:ser>
        <c:ser>
          <c:idx val="1"/>
          <c:order val="1"/>
          <c:tx>
            <c:strRef>
              <c:f>Tables!$K$19</c:f>
              <c:strCache>
                <c:ptCount val="1"/>
                <c:pt idx="0">
                  <c:v>Skien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Tables!$I$20:$I$23</c:f>
              <c:numCache>
                <c:formatCode>General</c:formatCode>
                <c:ptCount val="4"/>
                <c:pt idx="0">
                  <c:v>2019</c:v>
                </c:pt>
                <c:pt idx="1">
                  <c:v>2020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Tables!$K$20:$K$23</c:f>
              <c:numCache>
                <c:formatCode>0.0</c:formatCode>
                <c:ptCount val="4"/>
                <c:pt idx="0">
                  <c:v>61.230953126469998</c:v>
                </c:pt>
                <c:pt idx="1">
                  <c:v>55.942232077100002</c:v>
                </c:pt>
                <c:pt idx="2">
                  <c:v>54.749891982869997</c:v>
                </c:pt>
                <c:pt idx="3">
                  <c:v>56.446222999520003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68-45AF-8F69-4E77D97703EB}"/>
            </c:ext>
          </c:extLst>
        </c:ser>
        <c:ser>
          <c:idx val="2"/>
          <c:order val="2"/>
          <c:tx>
            <c:strRef>
              <c:f>Tables!$L$19</c:f>
              <c:strCache>
                <c:ptCount val="1"/>
                <c:pt idx="0">
                  <c:v>Siljan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Tables!$I$20:$I$23</c:f>
              <c:numCache>
                <c:formatCode>General</c:formatCode>
                <c:ptCount val="4"/>
                <c:pt idx="0">
                  <c:v>2019</c:v>
                </c:pt>
                <c:pt idx="1">
                  <c:v>2020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Tables!$L$20:$L$23</c:f>
              <c:numCache>
                <c:formatCode>0.0</c:formatCode>
                <c:ptCount val="4"/>
                <c:pt idx="0">
                  <c:v>75.335859741890005</c:v>
                </c:pt>
                <c:pt idx="1">
                  <c:v>61.555944843159999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68-45AF-8F69-4E77D97703EB}"/>
            </c:ext>
          </c:extLst>
        </c:ser>
        <c:ser>
          <c:idx val="3"/>
          <c:order val="3"/>
          <c:tx>
            <c:strRef>
              <c:f>Tables!$M$19</c:f>
              <c:strCache>
                <c:ptCount val="1"/>
                <c:pt idx="0">
                  <c:v>Bamble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Tables!$I$20:$I$23</c:f>
              <c:numCache>
                <c:formatCode>General</c:formatCode>
                <c:ptCount val="4"/>
                <c:pt idx="0">
                  <c:v>2019</c:v>
                </c:pt>
                <c:pt idx="1">
                  <c:v>2020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Tables!$M$20:$M$23</c:f>
              <c:numCache>
                <c:formatCode>0.0</c:formatCode>
                <c:ptCount val="4"/>
                <c:pt idx="0">
                  <c:v>63.909259994030002</c:v>
                </c:pt>
                <c:pt idx="1">
                  <c:v>69.348071822470004</c:v>
                </c:pt>
                <c:pt idx="2">
                  <c:v>68.396844463950004</c:v>
                </c:pt>
                <c:pt idx="3">
                  <c:v>67.988867848110004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68-45AF-8F69-4E77D97703EB}"/>
            </c:ext>
          </c:extLst>
        </c:ser>
        <c:ser>
          <c:idx val="4"/>
          <c:order val="4"/>
          <c:tx>
            <c:strRef>
              <c:f>Tables!$N$19</c:f>
              <c:strCache>
                <c:ptCount val="1"/>
                <c:pt idx="0">
                  <c:v>GRENLAND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Tables!$I$20:$I$23</c:f>
              <c:numCache>
                <c:formatCode>General</c:formatCode>
                <c:ptCount val="4"/>
                <c:pt idx="0">
                  <c:v>2019</c:v>
                </c:pt>
                <c:pt idx="1">
                  <c:v>2020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Tables!$N$20:$N$23</c:f>
              <c:numCache>
                <c:formatCode>0.0</c:formatCode>
                <c:ptCount val="4"/>
                <c:pt idx="0">
                  <c:v>65.595439777920006</c:v>
                </c:pt>
                <c:pt idx="1">
                  <c:v>58.924890540260002</c:v>
                </c:pt>
                <c:pt idx="2">
                  <c:v>61.888015147499999</c:v>
                </c:pt>
                <c:pt idx="3">
                  <c:v>59.842233209109999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68-45AF-8F69-4E77D9770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5016768"/>
        <c:axId val="1055013408"/>
      </c:lineChart>
      <c:catAx>
        <c:axId val="105501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År</a:t>
                </a:r>
                <a:r>
                  <a:rPr lang="nb-NO" baseline="0"/>
                  <a:t> (NB: 2021 og 2022 er utelatt)</a:t>
                </a:r>
                <a:endParaRPr lang="nb-NO"/>
              </a:p>
            </c:rich>
          </c:tx>
          <c:layout>
            <c:manualLayout>
              <c:xMode val="edge"/>
              <c:yMode val="edge"/>
              <c:x val="0.28441343689358162"/>
              <c:y val="0.94724121598459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55013408"/>
        <c:crosses val="autoZero"/>
        <c:auto val="1"/>
        <c:lblAlgn val="ctr"/>
        <c:lblOffset val="100"/>
        <c:noMultiLvlLbl val="0"/>
      </c:catAx>
      <c:valAx>
        <c:axId val="105501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5501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750401644513401"/>
          <c:y val="9.3136862378743024E-2"/>
          <c:w val="0.19236688990157885"/>
          <c:h val="0.368478292157647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97155</xdr:colOff>
      <xdr:row>14</xdr:row>
      <xdr:rowOff>3810</xdr:rowOff>
    </xdr:from>
    <xdr:to>
      <xdr:col>24</xdr:col>
      <xdr:colOff>426720</xdr:colOff>
      <xdr:row>31</xdr:row>
      <xdr:rowOff>373380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B31330-1E1A-44A1-9ACC-C19D0B62C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F5A0E475-8CF9-4D6F-81B1-3C018A6271A8}" autoFormatId="16" applyNumberFormats="0" applyBorderFormats="0" applyFontFormats="0" applyPatternFormats="0" applyAlignmentFormats="0" applyWidthHeightFormats="0">
  <queryTableRefresh nextId="5">
    <queryTableFields count="4">
      <queryTableField id="1" name="Svar" tableColumnId="1"/>
      <queryTableField id="2" name="År" tableColumnId="2"/>
      <queryTableField id="3" name="Sted" tableColumnId="3"/>
      <queryTableField id="4" name="Antall" tableColumnId="4"/>
    </queryTableFields>
  </queryTableRefresh>
</queryTable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FCFD099-EE47-499C-B69D-21C163740AE0}" name="Table115" displayName="Table115" ref="A19:G24" totalsRowShown="0">
  <tableColumns count="7">
    <tableColumn id="1" xr3:uid="{00000000-0010-0000-0000-000001000000}" name="Vektet antall"/>
    <tableColumn id="2" xr3:uid="{00000000-0010-0000-0000-000002000000}" name="Porsgrunn"/>
    <tableColumn id="3" xr3:uid="{00000000-0010-0000-0000-000003000000}" name="Skien"/>
    <tableColumn id="4" xr3:uid="{00000000-0010-0000-0000-000004000000}" name="Siljan"/>
    <tableColumn id="5" xr3:uid="{00000000-0010-0000-0000-000005000000}" name="Bamble"/>
    <tableColumn id="6" xr3:uid="{00000000-0010-0000-0000-000006000000}" name="GRENLAND"/>
    <tableColumn id="7" xr3:uid="{9E0471E8-0BBF-447D-AE07-96C8CD467E0F}" name="År" dataDxfId="3"/>
  </tableColumns>
  <tableStyleInfo name="TableStyleLight18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533E12B-6550-46B6-87A8-FE974E680DF5}" name="Table216" displayName="Table216" ref="A28:G31" totalsRowShown="0">
  <tableColumns count="7">
    <tableColumn id="1" xr3:uid="{00000000-0010-0000-0100-000001000000}" name="Vektet antall"/>
    <tableColumn id="2" xr3:uid="{00000000-0010-0000-0100-000002000000}" name="Porsgrunn"/>
    <tableColumn id="3" xr3:uid="{00000000-0010-0000-0100-000003000000}" name="Skien"/>
    <tableColumn id="4" xr3:uid="{00000000-0010-0000-0100-000004000000}" name="Siljan"/>
    <tableColumn id="5" xr3:uid="{00000000-0010-0000-0100-000005000000}" name="Bamble"/>
    <tableColumn id="6" xr3:uid="{00000000-0010-0000-0100-000006000000}" name="GRENLAND"/>
    <tableColumn id="7" xr3:uid="{A964489A-7652-47B0-B9C0-C3E262D44DE4}" name="År" dataDxfId="4"/>
  </tableColumns>
  <tableStyleInfo name="TableStyleLight18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24B14F9-809A-4D81-95EA-B70061A8193F}" name="Table317" displayName="Table317" ref="A35:G38" totalsRowShown="0">
  <tableColumns count="7">
    <tableColumn id="1" xr3:uid="{00000000-0010-0000-0200-000001000000}" name=" "/>
    <tableColumn id="2" xr3:uid="{00000000-0010-0000-0200-000002000000}" name="Porsgrunn"/>
    <tableColumn id="3" xr3:uid="{00000000-0010-0000-0200-000003000000}" name="Skien"/>
    <tableColumn id="4" xr3:uid="{00000000-0010-0000-0200-000004000000}" name="Siljan"/>
    <tableColumn id="5" xr3:uid="{00000000-0010-0000-0200-000005000000}" name="Bamble"/>
    <tableColumn id="6" xr3:uid="{00000000-0010-0000-0200-000006000000}" name="GRENLAND"/>
    <tableColumn id="7" xr3:uid="{E937B751-AB23-4D22-A46D-E0077C740DD4}" name="År"/>
  </tableColumns>
  <tableStyleInfo name="TableStyleLight18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B841A66-7B4C-494B-A955-DA5797691CE5}" name="Table418" displayName="Table418" ref="A71:G76" totalsRowShown="0">
  <tableColumns count="7">
    <tableColumn id="1" xr3:uid="{00000000-0010-0000-0300-000001000000}" name="Vektet antall"/>
    <tableColumn id="2" xr3:uid="{00000000-0010-0000-0300-000002000000}" name="Porsgrunn"/>
    <tableColumn id="3" xr3:uid="{00000000-0010-0000-0300-000003000000}" name="Skien"/>
    <tableColumn id="4" xr3:uid="{00000000-0010-0000-0300-000004000000}" name="Siljan"/>
    <tableColumn id="5" xr3:uid="{00000000-0010-0000-0300-000005000000}" name="Bamble"/>
    <tableColumn id="6" xr3:uid="{00000000-0010-0000-0300-000006000000}" name="GRENLAND"/>
    <tableColumn id="7" xr3:uid="{5D935C29-536C-4C83-A8B8-9DE8F4AB7D72}" name="År"/>
  </tableColumns>
  <tableStyleInfo name="TableStyleLight18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5CED211-258F-44EF-B3CE-AABF7AF43B73}" name="Table519" displayName="Table519" ref="A80:G83" totalsRowShown="0">
  <tableColumns count="7">
    <tableColumn id="1" xr3:uid="{00000000-0010-0000-0400-000001000000}" name="Vektet antall"/>
    <tableColumn id="2" xr3:uid="{00000000-0010-0000-0400-000002000000}" name="Porsgrunn"/>
    <tableColumn id="3" xr3:uid="{00000000-0010-0000-0400-000003000000}" name="Skien"/>
    <tableColumn id="4" xr3:uid="{00000000-0010-0000-0400-000004000000}" name="Siljan"/>
    <tableColumn id="5" xr3:uid="{00000000-0010-0000-0400-000005000000}" name="Bamble"/>
    <tableColumn id="6" xr3:uid="{00000000-0010-0000-0400-000006000000}" name="GRENLAND"/>
    <tableColumn id="7" xr3:uid="{425FA40F-6BDC-4F9A-8BED-213F84119949}" name="År"/>
  </tableColumns>
  <tableStyleInfo name="TableStyleLight18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9A409C9-A526-42D9-A6B6-0E73AC01D361}" name="Table620" displayName="Table620" ref="A87:G90" totalsRowShown="0">
  <tableColumns count="7">
    <tableColumn id="1" xr3:uid="{00000000-0010-0000-0500-000001000000}" name=" "/>
    <tableColumn id="2" xr3:uid="{00000000-0010-0000-0500-000002000000}" name="Porsgrunn"/>
    <tableColumn id="3" xr3:uid="{00000000-0010-0000-0500-000003000000}" name="Skien"/>
    <tableColumn id="4" xr3:uid="{00000000-0010-0000-0500-000004000000}" name="Siljan"/>
    <tableColumn id="5" xr3:uid="{00000000-0010-0000-0500-000005000000}" name="Bamble"/>
    <tableColumn id="6" xr3:uid="{00000000-0010-0000-0500-000006000000}" name="GRENLAND"/>
    <tableColumn id="7" xr3:uid="{606B4F36-518B-4AE4-988B-B37DE89AED8A}" name="År"/>
  </tableColumns>
  <tableStyleInfo name="TableStyleLight18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D3E9EF0-E9B5-49A3-AE24-8B436F23A66B}" name="Table721" displayName="Table721" ref="A97:G102" totalsRowShown="0">
  <tableColumns count="7">
    <tableColumn id="1" xr3:uid="{00000000-0010-0000-0600-000001000000}" name="Population"/>
    <tableColumn id="2" xr3:uid="{00000000-0010-0000-0600-000002000000}" name="Porsgrunn"/>
    <tableColumn id="3" xr3:uid="{00000000-0010-0000-0600-000003000000}" name="Skien"/>
    <tableColumn id="4" xr3:uid="{00000000-0010-0000-0600-000004000000}" name="Siljan"/>
    <tableColumn id="5" xr3:uid="{00000000-0010-0000-0600-000005000000}" name="Bamble"/>
    <tableColumn id="6" xr3:uid="{00000000-0010-0000-0600-000006000000}" name="GRENLAND"/>
    <tableColumn id="7" xr3:uid="{0121E083-187E-40EA-917A-686888452D7C}" name="År"/>
  </tableColumns>
  <tableStyleInfo name="TableStyleLight18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631DCD2-ED20-454D-BD78-8E7CD114F807}" name="Table822" displayName="Table822" ref="A106:G109" totalsRowShown="0">
  <tableColumns count="7">
    <tableColumn id="1" xr3:uid="{00000000-0010-0000-0700-000001000000}" name="Population"/>
    <tableColumn id="2" xr3:uid="{00000000-0010-0000-0700-000002000000}" name="Porsgrunn"/>
    <tableColumn id="3" xr3:uid="{00000000-0010-0000-0700-000003000000}" name="Skien"/>
    <tableColumn id="4" xr3:uid="{00000000-0010-0000-0700-000004000000}" name="Siljan"/>
    <tableColumn id="5" xr3:uid="{00000000-0010-0000-0700-000005000000}" name="Bamble"/>
    <tableColumn id="6" xr3:uid="{00000000-0010-0000-0700-000006000000}" name="GRENLAND"/>
    <tableColumn id="7" xr3:uid="{A0E31FC0-91FA-4FE5-8A4A-A87B1E745C9A}" name="År"/>
  </tableColumns>
  <tableStyleInfo name="TableStyleLight18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E1572E3-BC22-43BC-8C83-37888BEFACA9}" name="Table923" displayName="Table923" ref="A113:F116" totalsRowShown="0">
  <tableColumns count="6">
    <tableColumn id="1" xr3:uid="{00000000-0010-0000-0800-000001000000}" name=" "/>
    <tableColumn id="2" xr3:uid="{00000000-0010-0000-0800-000002000000}" name="Porsgrunn"/>
    <tableColumn id="3" xr3:uid="{00000000-0010-0000-0800-000003000000}" name="Skien"/>
    <tableColumn id="4" xr3:uid="{00000000-0010-0000-0800-000004000000}" name="Siljan"/>
    <tableColumn id="5" xr3:uid="{00000000-0010-0000-0800-000005000000}" name="Bamble"/>
    <tableColumn id="6" xr3:uid="{00000000-0010-0000-0800-000006000000}" name="GRENLAND"/>
  </tableColumns>
  <tableStyleInfo name="TableStyleLight18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88573CA-3E83-47FA-827A-08D7422B490E}" name="Tilgang_parkering" displayName="Tilgang_parkering" ref="A1:D101" tableType="queryTable" totalsRowShown="0">
  <autoFilter ref="A1:D101" xr:uid="{588573CA-3E83-47FA-827A-08D7422B490E}"/>
  <tableColumns count="4">
    <tableColumn id="1" xr3:uid="{D2ADF42A-B4FF-4CEE-BFE1-92EA2E488FF1}" uniqueName="1" name="Svar" queryTableFieldId="1" dataDxfId="1"/>
    <tableColumn id="2" xr3:uid="{61745F85-FC50-42D4-B542-E843F1132C43}" uniqueName="2" name="År" queryTableFieldId="2"/>
    <tableColumn id="3" xr3:uid="{F698AC86-099B-43DE-8F1C-0B4D8E3ADADD}" uniqueName="3" name="Sted" queryTableFieldId="3" dataDxfId="0"/>
    <tableColumn id="4" xr3:uid="{57A5DA64-0A41-40E7-9A34-277C9475081B}" uniqueName="4" name="Antall" queryTableFieldId="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25468E3-F72C-4E1A-81A1-6CF2DE7F9B51}" name="Tabell24" displayName="Tabell24" ref="A1:G21" totalsRowShown="0">
  <autoFilter ref="A1:G21" xr:uid="{425468E3-F72C-4E1A-81A1-6CF2DE7F9B51}"/>
  <tableColumns count="7">
    <tableColumn id="1" xr3:uid="{B86600EC-BA97-4342-BE6F-6FAF8C8213F4}" name="Svar"/>
    <tableColumn id="2" xr3:uid="{60675CD6-7F08-4B3E-8E38-C45094397148}" name="Porsgrunn"/>
    <tableColumn id="3" xr3:uid="{1B986839-CF1D-4155-89C7-C0274C450FC7}" name="Skien"/>
    <tableColumn id="4" xr3:uid="{D3ED4157-D7D8-4139-978E-F6E001DD7714}" name="Siljan"/>
    <tableColumn id="5" xr3:uid="{7DFC0F33-1C3A-48ED-AEFC-B1E1224163BB}" name="Bamble"/>
    <tableColumn id="6" xr3:uid="{DCAE0010-D02E-4896-B028-84C0F9E3CD24}" name="Grenland"/>
    <tableColumn id="7" xr3:uid="{638D83B4-7487-4A3A-993D-B48831399E85}" name="Å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830FF5B-1541-496B-B5F3-F5E145262F19}" name="Table3178" displayName="Table3178" ref="A2:G5" totalsRowShown="0">
  <tableColumns count="7">
    <tableColumn id="1" xr3:uid="{04C7A0B6-BE3A-4623-81CF-F99CC77ABFBE}" name=" "/>
    <tableColumn id="2" xr3:uid="{56FE42EE-92B4-43A2-8DC2-F35A53783679}" name="Porsgrunn"/>
    <tableColumn id="3" xr3:uid="{91F2938A-CF91-4EB3-A137-DC678DEAD5AB}" name="Skien"/>
    <tableColumn id="4" xr3:uid="{82C18A18-6BCA-45B7-BE2A-FD8729365816}" name="Siljan"/>
    <tableColumn id="5" xr3:uid="{5EA4530A-9872-476E-903D-54639FD177E9}" name="Bamble"/>
    <tableColumn id="6" xr3:uid="{0127650A-47AA-454C-91D1-77A1467431ED}" name="GRENLAND"/>
    <tableColumn id="7" xr3:uid="{863B9845-0002-4BB9-A532-6DC53572E415}" name="År"/>
  </tableColumns>
  <tableStyleInfo name="TableStyleLight18"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A3263D1-DEE7-4F6C-B8BD-71278F771CD6}" name="Table6209" displayName="Table6209" ref="A14:G17" totalsRowShown="0">
  <tableColumns count="7">
    <tableColumn id="1" xr3:uid="{0281D1B8-001C-46C4-ACE5-5198BBCC9EB5}" name=" "/>
    <tableColumn id="2" xr3:uid="{553784B3-8E55-4DE0-B632-C66DAD083BB7}" name="Porsgrunn"/>
    <tableColumn id="3" xr3:uid="{89EEF4CD-E042-4BEB-A10C-44E9869D6C3B}" name="Skien"/>
    <tableColumn id="4" xr3:uid="{5A200743-DE1D-4D52-A1A1-813151CFCEC0}" name="Siljan"/>
    <tableColumn id="5" xr3:uid="{290C22A4-784F-4D14-9583-DA759884DF42}" name="Bamble"/>
    <tableColumn id="6" xr3:uid="{94F3F8E8-FDF5-4993-BD89-69E6BEE8D949}" name="GRENLAND"/>
    <tableColumn id="7" xr3:uid="{EA368602-E5BA-4B35-99CB-F2836624D733}" name="År"/>
  </tableColumns>
  <tableStyleInfo name="TableStyleLight18"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7B11A6E-05FB-46BB-85C3-AC571AAF544C}" name="Table92310" displayName="Table92310" ref="A20:F23" totalsRowShown="0">
  <tableColumns count="6">
    <tableColumn id="1" xr3:uid="{D7092293-161C-42F3-97ED-A602013A220D}" name=" "/>
    <tableColumn id="2" xr3:uid="{F4165368-569C-4114-8B00-3E4E63616B13}" name="Porsgrunn"/>
    <tableColumn id="3" xr3:uid="{EAD42270-E68E-4A34-A747-689E0C52AE99}" name="Skien"/>
    <tableColumn id="4" xr3:uid="{DEE05CC9-D446-493A-83A4-5306543E7CBA}" name="Siljan"/>
    <tableColumn id="5" xr3:uid="{D4AE3157-56A6-4F3F-BA25-5E1438A38B62}" name="Bamble"/>
    <tableColumn id="6" xr3:uid="{08FD515B-9727-47B0-BAC7-68CE7074E5E8}" name="GRENLAND"/>
  </tableColumns>
  <tableStyleInfo name="TableStyleLight18"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18B4AC-5B6E-401F-9F2D-0C0034FE2516}" name="Table2165" displayName="Table2165" ref="A2:G5" totalsRowShown="0">
  <tableColumns count="7">
    <tableColumn id="1" xr3:uid="{0813B298-ECA0-4D2D-93A0-58658322FDBD}" name="Vektet antall"/>
    <tableColumn id="2" xr3:uid="{FBEDE0C8-090D-4827-8521-D636D17F3CE8}" name="Porsgrunn"/>
    <tableColumn id="3" xr3:uid="{B8029D2C-CAD5-480C-872C-71E0DA079F4D}" name="Skien"/>
    <tableColumn id="4" xr3:uid="{2660BE92-D6A7-4655-8EF7-10CC0D682CE1}" name="Siljan"/>
    <tableColumn id="5" xr3:uid="{0926AC63-899D-45E8-AB8E-D8F45CE9DDDC}" name="Bamble"/>
    <tableColumn id="6" xr3:uid="{958160F6-E3C9-4B86-91F3-67C12D74797F}" name="GRENLAND"/>
    <tableColumn id="7" xr3:uid="{D134268E-9EE8-4C53-9AF2-9A8E6A716231}" name="År" dataDxfId="2"/>
  </tableColumns>
  <tableStyleInfo name="TableStyleLight18"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9E83AB-2A44-451B-A3B9-AD607746695B}" name="Table5196" displayName="Table5196" ref="A14:G17" totalsRowShown="0">
  <tableColumns count="7">
    <tableColumn id="1" xr3:uid="{504F1DDE-BD6A-464B-A836-5DB2F62ADA40}" name="Vektet antall"/>
    <tableColumn id="2" xr3:uid="{DEE5F619-BB06-4B46-82B5-8D83F2AF546C}" name="Porsgrunn"/>
    <tableColumn id="3" xr3:uid="{B13CBD38-2E25-4CB4-81F6-8C1D1A52A0B9}" name="Skien"/>
    <tableColumn id="4" xr3:uid="{96FFDAC3-665B-4E56-969B-420759251447}" name="Siljan"/>
    <tableColumn id="5" xr3:uid="{8D053144-9ADC-4AE7-AA5B-4438CE669CD1}" name="Bamble"/>
    <tableColumn id="6" xr3:uid="{A963FE24-8E22-4553-9AB7-88CDC0809EFF}" name="GRENLAND"/>
    <tableColumn id="7" xr3:uid="{C281A9B1-FDD6-4079-8BFD-18BE341A3ED9}" name="År"/>
  </tableColumns>
  <tableStyleInfo name="TableStyleLight18"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C094C3-7D9F-438E-B9D9-2D0D0D77DB8E}" name="Table8227" displayName="Table8227" ref="A20:G23" totalsRowShown="0">
  <tableColumns count="7">
    <tableColumn id="1" xr3:uid="{77A75DFC-7A1C-4D9E-8386-673E61A4A419}" name="Population"/>
    <tableColumn id="2" xr3:uid="{68E6BB3D-BCFF-424E-BE70-32592D7B785A}" name="Porsgrunn"/>
    <tableColumn id="3" xr3:uid="{5FA67615-FCA3-48ED-992F-A0F51935DA1D}" name="Skien"/>
    <tableColumn id="4" xr3:uid="{7D88F169-52A3-4486-BABC-683293042D7F}" name="Siljan"/>
    <tableColumn id="5" xr3:uid="{AC1A4003-5CA4-4870-AC6C-2D007B3D1813}" name="Bamble"/>
    <tableColumn id="6" xr3:uid="{3A130FDC-D5A0-48EE-8F04-37BE486FC4EC}" name="GRENLAND"/>
    <tableColumn id="7" xr3:uid="{5DE81582-83C7-4790-8936-7F6AAD8D4CF1}" name="År"/>
  </tableColumns>
  <tableStyleInfo name="TableStyleLight18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pinion">
      <a:dk1>
        <a:srgbClr val="515350"/>
      </a:dk1>
      <a:lt1>
        <a:srgbClr val="FFFFFF"/>
      </a:lt1>
      <a:dk2>
        <a:srgbClr val="F15F5B"/>
      </a:dk2>
      <a:lt2>
        <a:srgbClr val="E7E6E6"/>
      </a:lt2>
      <a:accent1>
        <a:srgbClr val="71C3B3"/>
      </a:accent1>
      <a:accent2>
        <a:srgbClr val="F26649"/>
      </a:accent2>
      <a:accent3>
        <a:srgbClr val="1C7CA1"/>
      </a:accent3>
      <a:accent4>
        <a:srgbClr val="FCE164"/>
      </a:accent4>
      <a:accent5>
        <a:srgbClr val="515350"/>
      </a:accent5>
      <a:accent6>
        <a:srgbClr val="FCF7BA"/>
      </a:accent6>
      <a:hlink>
        <a:srgbClr val="F26649"/>
      </a:hlink>
      <a:folHlink>
        <a:srgbClr val="E2224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3AD66-96E7-4B50-9E78-58B30EEC85B5}">
  <dimension ref="A1:V116"/>
  <sheetViews>
    <sheetView tabSelected="1" topLeftCell="A12" workbookViewId="0">
      <selection activeCell="K35" sqref="K35"/>
    </sheetView>
  </sheetViews>
  <sheetFormatPr baseColWidth="10" defaultColWidth="9.140625" defaultRowHeight="15" x14ac:dyDescent="0.25"/>
  <cols>
    <col min="1" max="1" width="19.42578125" bestFit="1" customWidth="1"/>
    <col min="2" max="6" width="12.7109375" bestFit="1" customWidth="1"/>
    <col min="10" max="14" width="16.7109375" customWidth="1"/>
    <col min="23" max="23" width="12.7109375" bestFit="1" customWidth="1"/>
  </cols>
  <sheetData>
    <row r="1" spans="1:14" ht="30.6" customHeight="1" x14ac:dyDescent="0.25">
      <c r="A1" s="13" t="s">
        <v>47</v>
      </c>
    </row>
    <row r="2" spans="1:14" x14ac:dyDescent="0.25">
      <c r="A2" s="12" t="s">
        <v>44</v>
      </c>
    </row>
    <row r="3" spans="1:14" x14ac:dyDescent="0.25">
      <c r="A3" s="11"/>
    </row>
    <row r="4" spans="1:14" x14ac:dyDescent="0.25">
      <c r="A4" s="11" t="s">
        <v>43</v>
      </c>
    </row>
    <row r="5" spans="1:14" x14ac:dyDescent="0.25">
      <c r="A5" s="16" t="s">
        <v>37</v>
      </c>
    </row>
    <row r="6" spans="1:14" x14ac:dyDescent="0.25">
      <c r="A6" s="11"/>
    </row>
    <row r="7" spans="1:14" x14ac:dyDescent="0.25">
      <c r="A7" s="11" t="s">
        <v>38</v>
      </c>
    </row>
    <row r="8" spans="1:14" x14ac:dyDescent="0.25">
      <c r="A8" s="16" t="s">
        <v>39</v>
      </c>
    </row>
    <row r="9" spans="1:14" x14ac:dyDescent="0.25">
      <c r="A9" s="11"/>
    </row>
    <row r="10" spans="1:14" x14ac:dyDescent="0.25">
      <c r="A10" s="11" t="s">
        <v>45</v>
      </c>
    </row>
    <row r="11" spans="1:14" x14ac:dyDescent="0.25">
      <c r="A11" s="12" t="s">
        <v>40</v>
      </c>
    </row>
    <row r="12" spans="1:14" x14ac:dyDescent="0.25">
      <c r="A12" s="12" t="s">
        <v>42</v>
      </c>
    </row>
    <row r="13" spans="1:14" x14ac:dyDescent="0.25">
      <c r="A13" s="11"/>
    </row>
    <row r="14" spans="1:14" ht="32.450000000000003" customHeight="1" x14ac:dyDescent="0.25">
      <c r="A14" s="17" t="s">
        <v>46</v>
      </c>
      <c r="B14" s="17"/>
      <c r="C14" s="17"/>
      <c r="D14" s="17"/>
      <c r="E14" s="17"/>
      <c r="F14" s="17"/>
    </row>
    <row r="16" spans="1:14" x14ac:dyDescent="0.25">
      <c r="A16" s="5" t="s">
        <v>9</v>
      </c>
      <c r="B16" s="4"/>
      <c r="C16" s="4"/>
      <c r="D16" s="4"/>
      <c r="E16" s="4"/>
      <c r="F16" s="4"/>
      <c r="I16" s="5" t="s">
        <v>23</v>
      </c>
      <c r="J16" s="4"/>
      <c r="K16" s="4"/>
      <c r="L16" s="4"/>
      <c r="M16" s="4"/>
      <c r="N16" s="4"/>
    </row>
    <row r="18" spans="1:14" x14ac:dyDescent="0.25">
      <c r="A18" t="s">
        <v>22</v>
      </c>
    </row>
    <row r="19" spans="1:14" ht="15.75" thickBot="1" x14ac:dyDescent="0.3">
      <c r="A19" s="1" t="s">
        <v>41</v>
      </c>
      <c r="B19" s="1" t="s">
        <v>0</v>
      </c>
      <c r="C19" s="1" t="s">
        <v>1</v>
      </c>
      <c r="D19" s="1" t="s">
        <v>2</v>
      </c>
      <c r="E19" s="1" t="s">
        <v>3</v>
      </c>
      <c r="F19" s="8" t="s">
        <v>15</v>
      </c>
      <c r="G19" s="20" t="s">
        <v>48</v>
      </c>
      <c r="I19" s="8"/>
      <c r="J19" s="8" t="s">
        <v>0</v>
      </c>
      <c r="K19" s="8" t="s">
        <v>1</v>
      </c>
      <c r="L19" s="8" t="s">
        <v>2</v>
      </c>
      <c r="M19" s="8" t="s">
        <v>3</v>
      </c>
      <c r="N19" s="8" t="s">
        <v>15</v>
      </c>
    </row>
    <row r="20" spans="1:14" x14ac:dyDescent="0.25">
      <c r="A20" t="s">
        <v>10</v>
      </c>
      <c r="B20" s="2">
        <v>27.789317440840001</v>
      </c>
      <c r="C20" s="2">
        <v>70.797048262619995</v>
      </c>
      <c r="D20" s="2">
        <v>4.2752947363020004</v>
      </c>
      <c r="E20" s="2">
        <v>3.9032298612130001</v>
      </c>
      <c r="F20" s="2">
        <v>106.76489030099999</v>
      </c>
      <c r="G20" s="21">
        <v>2024</v>
      </c>
      <c r="I20" s="6">
        <v>2019</v>
      </c>
      <c r="J20" s="9">
        <f>B116</f>
        <v>72.199457710070007</v>
      </c>
      <c r="K20" s="9">
        <f>C116</f>
        <v>61.230953126469998</v>
      </c>
      <c r="L20" s="9">
        <f>D116</f>
        <v>75.335859741890005</v>
      </c>
      <c r="M20" s="9">
        <f>E116</f>
        <v>63.909259994030002</v>
      </c>
      <c r="N20" s="9">
        <f>F116</f>
        <v>65.595439777920006</v>
      </c>
    </row>
    <row r="21" spans="1:14" x14ac:dyDescent="0.25">
      <c r="A21" t="s">
        <v>11</v>
      </c>
      <c r="B21" s="2">
        <v>231.66378639609999</v>
      </c>
      <c r="C21" s="2">
        <v>319.70908455080001</v>
      </c>
      <c r="D21" s="2">
        <v>14.061030283079999</v>
      </c>
      <c r="E21" s="2">
        <v>78.600062332679997</v>
      </c>
      <c r="F21" s="2">
        <v>644.03396356259998</v>
      </c>
      <c r="G21" s="21">
        <v>2024</v>
      </c>
      <c r="I21" s="7">
        <v>2020</v>
      </c>
      <c r="J21" s="10">
        <f>B90</f>
        <v>59.185933480320003</v>
      </c>
      <c r="K21" s="10">
        <f>C90</f>
        <v>55.942232077100002</v>
      </c>
      <c r="L21" s="10">
        <f>D90</f>
        <v>61.555944843159999</v>
      </c>
      <c r="M21" s="10">
        <f>E90</f>
        <v>69.348071822470004</v>
      </c>
      <c r="N21" s="10">
        <f>F90</f>
        <v>58.924890540260002</v>
      </c>
    </row>
    <row r="22" spans="1:14" x14ac:dyDescent="0.25">
      <c r="A22" t="s">
        <v>12</v>
      </c>
      <c r="B22" s="2">
        <v>0</v>
      </c>
      <c r="C22" s="2">
        <v>0.84319230938919998</v>
      </c>
      <c r="D22" s="2">
        <v>0</v>
      </c>
      <c r="E22" s="2">
        <v>0</v>
      </c>
      <c r="F22" s="2">
        <v>0.84319230938919998</v>
      </c>
      <c r="G22" s="21">
        <v>2024</v>
      </c>
      <c r="I22" s="6">
        <v>2023</v>
      </c>
      <c r="J22" s="9">
        <f>B64</f>
        <v>71.875164288020002</v>
      </c>
      <c r="K22" s="9">
        <f>C64</f>
        <v>54.749891982869997</v>
      </c>
      <c r="L22" s="9"/>
      <c r="M22" s="9">
        <f>E64</f>
        <v>68.396844463950004</v>
      </c>
      <c r="N22" s="9">
        <f>F64</f>
        <v>61.888015147499999</v>
      </c>
    </row>
    <row r="23" spans="1:14" x14ac:dyDescent="0.25">
      <c r="A23" t="s">
        <v>4</v>
      </c>
      <c r="B23" s="2">
        <v>259.45310383690003</v>
      </c>
      <c r="C23" s="2">
        <v>391.3493251228</v>
      </c>
      <c r="D23" s="2">
        <v>18.336325019379998</v>
      </c>
      <c r="E23" s="2">
        <v>82.503292193890005</v>
      </c>
      <c r="F23" s="2">
        <v>751.64204617300004</v>
      </c>
      <c r="G23" s="21">
        <v>2024</v>
      </c>
      <c r="I23" s="7">
        <v>2024</v>
      </c>
      <c r="J23" s="10">
        <f>B38</f>
        <v>62.783768224299997</v>
      </c>
      <c r="K23" s="10">
        <f>C38</f>
        <v>56.446222999520003</v>
      </c>
      <c r="L23" s="10"/>
      <c r="M23" s="10">
        <f>E38</f>
        <v>67.988867848110004</v>
      </c>
      <c r="N23" s="10">
        <f>F38</f>
        <v>59.842233209109999</v>
      </c>
    </row>
    <row r="24" spans="1:14" x14ac:dyDescent="0.25">
      <c r="A24" t="s">
        <v>5</v>
      </c>
      <c r="B24" s="2">
        <v>268</v>
      </c>
      <c r="C24" s="2">
        <v>354</v>
      </c>
      <c r="D24" s="14">
        <v>14</v>
      </c>
      <c r="E24" s="2">
        <v>79</v>
      </c>
      <c r="F24" s="2">
        <v>715</v>
      </c>
      <c r="G24" s="21">
        <v>2024</v>
      </c>
    </row>
    <row r="25" spans="1:14" ht="41.45" customHeight="1" x14ac:dyDescent="0.25">
      <c r="A25" s="18" t="s">
        <v>36</v>
      </c>
      <c r="B25" s="18"/>
      <c r="C25" s="18"/>
      <c r="D25" s="18"/>
      <c r="E25" s="18"/>
      <c r="F25" s="18"/>
    </row>
    <row r="27" spans="1:14" x14ac:dyDescent="0.25">
      <c r="A27" t="s">
        <v>21</v>
      </c>
    </row>
    <row r="28" spans="1:14" ht="15.75" thickBot="1" x14ac:dyDescent="0.3">
      <c r="A28" s="1" t="s">
        <v>41</v>
      </c>
      <c r="B28" s="1" t="s">
        <v>0</v>
      </c>
      <c r="C28" s="1" t="s">
        <v>1</v>
      </c>
      <c r="D28" s="1" t="s">
        <v>2</v>
      </c>
      <c r="E28" s="1" t="s">
        <v>3</v>
      </c>
      <c r="F28" s="8" t="s">
        <v>15</v>
      </c>
      <c r="G28" s="20" t="s">
        <v>48</v>
      </c>
    </row>
    <row r="29" spans="1:14" x14ac:dyDescent="0.25">
      <c r="A29" t="s">
        <v>13</v>
      </c>
      <c r="B29" s="2">
        <v>368.98675079269998</v>
      </c>
      <c r="C29" s="2">
        <v>566.39588543150001</v>
      </c>
      <c r="D29" s="2">
        <v>25.22991264805</v>
      </c>
      <c r="E29" s="2">
        <v>115.60725280539999</v>
      </c>
      <c r="F29" s="2">
        <v>1076.2198016780001</v>
      </c>
      <c r="G29" s="21">
        <v>2024</v>
      </c>
    </row>
    <row r="30" spans="1:14" x14ac:dyDescent="0.25">
      <c r="A30" t="s">
        <v>4</v>
      </c>
      <c r="B30" s="2">
        <v>368.98675079269998</v>
      </c>
      <c r="C30" s="2">
        <v>566.39588543150001</v>
      </c>
      <c r="D30" s="2">
        <v>25.22991264805</v>
      </c>
      <c r="E30" s="2">
        <v>115.60725280539999</v>
      </c>
      <c r="F30" s="2">
        <v>1076.2198016780001</v>
      </c>
      <c r="G30" s="21">
        <v>2024</v>
      </c>
    </row>
    <row r="31" spans="1:14" x14ac:dyDescent="0.25">
      <c r="A31" t="s">
        <v>5</v>
      </c>
      <c r="B31" s="2">
        <v>370</v>
      </c>
      <c r="C31" s="2">
        <v>498</v>
      </c>
      <c r="D31" s="14">
        <v>21</v>
      </c>
      <c r="E31" s="2">
        <v>106</v>
      </c>
      <c r="F31" s="2">
        <v>995</v>
      </c>
      <c r="G31" s="21">
        <v>2024</v>
      </c>
    </row>
    <row r="32" spans="1:14" ht="45.6" customHeight="1" x14ac:dyDescent="0.25">
      <c r="A32" s="18" t="s">
        <v>36</v>
      </c>
      <c r="B32" s="18"/>
      <c r="C32" s="18"/>
      <c r="D32" s="18"/>
      <c r="E32" s="18"/>
      <c r="F32" s="18"/>
    </row>
    <row r="34" spans="1:7" x14ac:dyDescent="0.25">
      <c r="A34" t="s">
        <v>35</v>
      </c>
    </row>
    <row r="35" spans="1:7" ht="15.75" thickBot="1" x14ac:dyDescent="0.3">
      <c r="A35" s="1" t="s">
        <v>16</v>
      </c>
      <c r="B35" s="1" t="s">
        <v>0</v>
      </c>
      <c r="C35" s="1" t="s">
        <v>1</v>
      </c>
      <c r="D35" s="1" t="s">
        <v>2</v>
      </c>
      <c r="E35" s="1" t="s">
        <v>3</v>
      </c>
      <c r="F35" s="8" t="s">
        <v>15</v>
      </c>
      <c r="G35" s="20" t="s">
        <v>48</v>
      </c>
    </row>
    <row r="36" spans="1:7" x14ac:dyDescent="0.25">
      <c r="A36" t="s">
        <v>30</v>
      </c>
      <c r="B36" s="3">
        <v>231.66378639609999</v>
      </c>
      <c r="C36" s="3">
        <v>319.70908455080001</v>
      </c>
      <c r="D36" s="3">
        <v>14.061030283079999</v>
      </c>
      <c r="E36" s="3">
        <v>78.600062332679997</v>
      </c>
      <c r="F36" s="3">
        <v>644.03396356259998</v>
      </c>
      <c r="G36" s="21">
        <v>2024</v>
      </c>
    </row>
    <row r="37" spans="1:7" x14ac:dyDescent="0.25">
      <c r="A37" t="s">
        <v>29</v>
      </c>
      <c r="B37" s="3">
        <v>368.98675079269998</v>
      </c>
      <c r="C37" s="3">
        <v>566.39588543150001</v>
      </c>
      <c r="D37" s="3">
        <v>25.22991264805</v>
      </c>
      <c r="E37" s="3">
        <v>115.60725280539999</v>
      </c>
      <c r="F37" s="3">
        <v>1076.2198016780001</v>
      </c>
      <c r="G37" s="21">
        <v>2024</v>
      </c>
    </row>
    <row r="38" spans="1:7" x14ac:dyDescent="0.25">
      <c r="A38" t="s">
        <v>28</v>
      </c>
      <c r="B38" s="3">
        <v>62.783768224299997</v>
      </c>
      <c r="C38" s="3">
        <v>56.446222999520003</v>
      </c>
      <c r="D38" s="3">
        <v>55.731585278259999</v>
      </c>
      <c r="E38" s="3">
        <v>67.988867848110004</v>
      </c>
      <c r="F38" s="3">
        <v>59.842233209109999</v>
      </c>
      <c r="G38" s="21">
        <v>2024</v>
      </c>
    </row>
    <row r="42" spans="1:7" x14ac:dyDescent="0.25">
      <c r="A42" s="5">
        <v>2023</v>
      </c>
      <c r="B42" s="4"/>
      <c r="C42" s="4"/>
      <c r="D42" s="4"/>
      <c r="E42" s="4"/>
      <c r="F42" s="4"/>
    </row>
    <row r="44" spans="1:7" x14ac:dyDescent="0.25">
      <c r="A44" t="s">
        <v>24</v>
      </c>
    </row>
    <row r="45" spans="1:7" ht="15.75" thickBot="1" x14ac:dyDescent="0.3">
      <c r="A45" s="8" t="s">
        <v>41</v>
      </c>
      <c r="B45" s="8" t="s">
        <v>0</v>
      </c>
      <c r="C45" s="8" t="s">
        <v>1</v>
      </c>
      <c r="D45" s="8" t="s">
        <v>2</v>
      </c>
      <c r="E45" s="8" t="s">
        <v>3</v>
      </c>
      <c r="F45" s="8" t="s">
        <v>15</v>
      </c>
      <c r="G45" s="20" t="s">
        <v>48</v>
      </c>
    </row>
    <row r="46" spans="1:7" x14ac:dyDescent="0.25">
      <c r="A46" s="6" t="s">
        <v>10</v>
      </c>
      <c r="B46" s="9">
        <v>21.958409068009999</v>
      </c>
      <c r="C46" s="9">
        <v>57.653198093029999</v>
      </c>
      <c r="D46" s="9">
        <v>0.61311083206880002</v>
      </c>
      <c r="E46" s="9">
        <v>8.8520140455360004</v>
      </c>
      <c r="F46" s="9">
        <v>89.076732038649993</v>
      </c>
      <c r="G46" s="21">
        <v>2023</v>
      </c>
    </row>
    <row r="47" spans="1:7" x14ac:dyDescent="0.25">
      <c r="A47" s="7" t="s">
        <v>11</v>
      </c>
      <c r="B47" s="10">
        <v>237.11389019629999</v>
      </c>
      <c r="C47" s="10">
        <v>274.28849936289998</v>
      </c>
      <c r="D47" s="10">
        <v>11.2286621068</v>
      </c>
      <c r="E47" s="10">
        <v>74.724310217880003</v>
      </c>
      <c r="F47" s="10">
        <v>597.35536188380001</v>
      </c>
      <c r="G47" s="21">
        <v>2023</v>
      </c>
    </row>
    <row r="48" spans="1:7" x14ac:dyDescent="0.25">
      <c r="A48" s="6" t="s">
        <v>12</v>
      </c>
      <c r="B48" s="9">
        <v>1.915417242255</v>
      </c>
      <c r="C48" s="9">
        <v>0.42583884323170001</v>
      </c>
      <c r="D48" s="9">
        <v>2.170524073088</v>
      </c>
      <c r="E48" s="9">
        <v>0</v>
      </c>
      <c r="F48" s="9">
        <v>4.5117801585750001</v>
      </c>
      <c r="G48" s="21">
        <v>2023</v>
      </c>
    </row>
    <row r="49" spans="1:22" x14ac:dyDescent="0.25">
      <c r="A49" s="7" t="s">
        <v>4</v>
      </c>
      <c r="B49" s="10">
        <v>260.98771650660001</v>
      </c>
      <c r="C49" s="10">
        <v>332.36753629909998</v>
      </c>
      <c r="D49" s="10">
        <v>14.012297011959999</v>
      </c>
      <c r="E49" s="10">
        <v>83.576324263410001</v>
      </c>
      <c r="F49" s="10">
        <v>690.94387408110003</v>
      </c>
      <c r="G49" s="21">
        <v>2023</v>
      </c>
    </row>
    <row r="50" spans="1:22" x14ac:dyDescent="0.25">
      <c r="A50" s="6" t="s">
        <v>5</v>
      </c>
      <c r="B50" s="9">
        <v>241</v>
      </c>
      <c r="C50" s="9">
        <v>281</v>
      </c>
      <c r="D50" s="15">
        <v>12</v>
      </c>
      <c r="E50" s="9">
        <v>68</v>
      </c>
      <c r="F50" s="9">
        <v>602</v>
      </c>
      <c r="G50" s="21">
        <v>2023</v>
      </c>
    </row>
    <row r="51" spans="1:22" ht="31.15" customHeight="1" x14ac:dyDescent="0.25">
      <c r="A51" s="19" t="s">
        <v>26</v>
      </c>
      <c r="B51" s="19"/>
      <c r="C51" s="19"/>
      <c r="D51" s="19"/>
      <c r="E51" s="19"/>
      <c r="F51" s="19"/>
    </row>
    <row r="53" spans="1:22" x14ac:dyDescent="0.25">
      <c r="A53" t="s">
        <v>25</v>
      </c>
    </row>
    <row r="54" spans="1:22" ht="15.75" thickBot="1" x14ac:dyDescent="0.3">
      <c r="A54" s="8" t="s">
        <v>41</v>
      </c>
      <c r="B54" s="8" t="s">
        <v>0</v>
      </c>
      <c r="C54" s="8" t="s">
        <v>1</v>
      </c>
      <c r="D54" s="8" t="s">
        <v>2</v>
      </c>
      <c r="E54" s="8" t="s">
        <v>3</v>
      </c>
      <c r="F54" s="8" t="s">
        <v>15</v>
      </c>
      <c r="G54" s="20" t="s">
        <v>48</v>
      </c>
    </row>
    <row r="55" spans="1:22" x14ac:dyDescent="0.25">
      <c r="A55" s="6" t="s">
        <v>13</v>
      </c>
      <c r="B55" s="9">
        <v>329.89683229960002</v>
      </c>
      <c r="C55" s="9">
        <v>500.98454888039998</v>
      </c>
      <c r="D55" s="9">
        <v>25.087288247939998</v>
      </c>
      <c r="E55" s="9">
        <v>109.2511077134</v>
      </c>
      <c r="F55" s="9">
        <v>965.21977714130003</v>
      </c>
      <c r="G55" s="21">
        <v>2023</v>
      </c>
    </row>
    <row r="56" spans="1:22" x14ac:dyDescent="0.25">
      <c r="A56" s="7" t="s">
        <v>4</v>
      </c>
      <c r="B56" s="10">
        <v>329.89683229960002</v>
      </c>
      <c r="C56" s="10">
        <v>500.98454888039998</v>
      </c>
      <c r="D56" s="10">
        <v>25.087288247939998</v>
      </c>
      <c r="E56" s="10">
        <v>109.2511077134</v>
      </c>
      <c r="F56" s="10">
        <v>965.21977714130003</v>
      </c>
      <c r="G56" s="22">
        <v>2023</v>
      </c>
      <c r="S56" s="1"/>
      <c r="T56" s="1"/>
      <c r="U56" s="1"/>
      <c r="V56" s="1"/>
    </row>
    <row r="57" spans="1:22" x14ac:dyDescent="0.25">
      <c r="A57" s="6" t="s">
        <v>5</v>
      </c>
      <c r="B57" s="9">
        <v>305</v>
      </c>
      <c r="C57" s="9">
        <v>418</v>
      </c>
      <c r="D57" s="15">
        <v>16</v>
      </c>
      <c r="E57" s="9">
        <v>89</v>
      </c>
      <c r="F57" s="9">
        <v>828</v>
      </c>
      <c r="G57" s="21">
        <v>2023</v>
      </c>
      <c r="T57" s="2"/>
      <c r="U57" s="2"/>
      <c r="V57" s="2"/>
    </row>
    <row r="58" spans="1:22" ht="28.9" customHeight="1" x14ac:dyDescent="0.25">
      <c r="A58" s="19" t="s">
        <v>27</v>
      </c>
      <c r="B58" s="19"/>
      <c r="C58" s="19"/>
      <c r="D58" s="19"/>
      <c r="E58" s="19"/>
      <c r="F58" s="19"/>
      <c r="T58" s="2"/>
      <c r="U58" s="2"/>
      <c r="V58" s="2"/>
    </row>
    <row r="60" spans="1:22" x14ac:dyDescent="0.25">
      <c r="A60" t="s">
        <v>14</v>
      </c>
    </row>
    <row r="61" spans="1:22" ht="15.75" thickBot="1" x14ac:dyDescent="0.3">
      <c r="A61" s="8"/>
      <c r="B61" s="8" t="s">
        <v>0</v>
      </c>
      <c r="C61" s="8" t="s">
        <v>1</v>
      </c>
      <c r="D61" s="8" t="s">
        <v>2</v>
      </c>
      <c r="E61" s="8" t="s">
        <v>3</v>
      </c>
      <c r="F61" s="8" t="s">
        <v>15</v>
      </c>
      <c r="G61" s="20" t="s">
        <v>48</v>
      </c>
    </row>
    <row r="62" spans="1:22" x14ac:dyDescent="0.25">
      <c r="A62" s="6" t="s">
        <v>30</v>
      </c>
      <c r="B62" s="9">
        <v>237.11389019629999</v>
      </c>
      <c r="C62" s="9">
        <v>274.28849936289998</v>
      </c>
      <c r="D62" s="9">
        <v>11.2286621068</v>
      </c>
      <c r="E62" s="9">
        <v>74.724310217880003</v>
      </c>
      <c r="F62" s="9">
        <v>597.35536188380001</v>
      </c>
      <c r="G62" s="21">
        <v>2023</v>
      </c>
    </row>
    <row r="63" spans="1:22" x14ac:dyDescent="0.25">
      <c r="A63" s="7" t="s">
        <v>29</v>
      </c>
      <c r="B63" s="10">
        <v>329.89683229960002</v>
      </c>
      <c r="C63" s="10">
        <v>500.98454888039998</v>
      </c>
      <c r="D63" s="10">
        <v>25.087288247939998</v>
      </c>
      <c r="E63" s="10">
        <v>109.2511077134</v>
      </c>
      <c r="F63" s="10">
        <v>965.21977714130003</v>
      </c>
      <c r="G63" s="22">
        <v>2023</v>
      </c>
      <c r="S63" s="1"/>
      <c r="T63" s="1"/>
      <c r="U63" s="1"/>
      <c r="V63" s="1"/>
    </row>
    <row r="64" spans="1:22" x14ac:dyDescent="0.25">
      <c r="A64" s="6" t="s">
        <v>28</v>
      </c>
      <c r="B64" s="9">
        <v>71.875164288020002</v>
      </c>
      <c r="C64" s="9">
        <v>54.749891982869997</v>
      </c>
      <c r="D64" s="9">
        <v>44.758373228030003</v>
      </c>
      <c r="E64" s="9">
        <v>68.396844463950004</v>
      </c>
      <c r="F64" s="9">
        <v>61.888015147499999</v>
      </c>
      <c r="G64" s="21">
        <v>2023</v>
      </c>
      <c r="T64" s="3"/>
      <c r="U64" s="3"/>
      <c r="V64" s="3"/>
    </row>
    <row r="65" spans="1:22" x14ac:dyDescent="0.25">
      <c r="T65" s="3"/>
      <c r="U65" s="3"/>
      <c r="V65" s="3"/>
    </row>
    <row r="66" spans="1:22" x14ac:dyDescent="0.25">
      <c r="T66" s="3"/>
      <c r="U66" s="3"/>
      <c r="V66" s="3"/>
    </row>
    <row r="68" spans="1:22" x14ac:dyDescent="0.25">
      <c r="A68" s="5" t="s">
        <v>8</v>
      </c>
      <c r="B68" s="4"/>
      <c r="C68" s="4"/>
      <c r="D68" s="4"/>
      <c r="E68" s="4"/>
      <c r="F68" s="4"/>
    </row>
    <row r="70" spans="1:22" x14ac:dyDescent="0.25">
      <c r="A70" t="s">
        <v>20</v>
      </c>
    </row>
    <row r="71" spans="1:22" ht="15.75" thickBot="1" x14ac:dyDescent="0.3">
      <c r="A71" s="1" t="s">
        <v>41</v>
      </c>
      <c r="B71" s="1" t="s">
        <v>0</v>
      </c>
      <c r="C71" s="1" t="s">
        <v>1</v>
      </c>
      <c r="D71" s="1" t="s">
        <v>2</v>
      </c>
      <c r="E71" s="1" t="s">
        <v>3</v>
      </c>
      <c r="F71" s="8" t="s">
        <v>15</v>
      </c>
      <c r="G71" t="s">
        <v>48</v>
      </c>
    </row>
    <row r="72" spans="1:22" x14ac:dyDescent="0.25">
      <c r="A72" t="s">
        <v>10</v>
      </c>
      <c r="B72" s="2">
        <v>27.05841521975</v>
      </c>
      <c r="C72" s="2">
        <v>64.090494935069998</v>
      </c>
      <c r="D72" s="2">
        <v>2.7247296523369999</v>
      </c>
      <c r="E72" s="2">
        <v>10.00517539272</v>
      </c>
      <c r="F72" s="2">
        <v>103.8788151999</v>
      </c>
      <c r="G72">
        <v>2020</v>
      </c>
    </row>
    <row r="73" spans="1:22" x14ac:dyDescent="0.25">
      <c r="A73" t="s">
        <v>11</v>
      </c>
      <c r="B73" s="2">
        <v>219.97090715019999</v>
      </c>
      <c r="C73" s="2">
        <v>298.77970342750001</v>
      </c>
      <c r="D73" s="2">
        <v>14.472647840880001</v>
      </c>
      <c r="E73" s="2">
        <v>95.415472084290002</v>
      </c>
      <c r="F73" s="2">
        <v>628.63873050279994</v>
      </c>
      <c r="G73">
        <v>2020</v>
      </c>
    </row>
    <row r="74" spans="1:22" x14ac:dyDescent="0.25">
      <c r="A74" t="s">
        <v>12</v>
      </c>
      <c r="B74" s="2">
        <v>3.4316346576510002</v>
      </c>
      <c r="C74" s="2">
        <v>0.98330818434800005</v>
      </c>
      <c r="D74" s="2">
        <v>0</v>
      </c>
      <c r="E74" s="2">
        <v>0.7179695522492</v>
      </c>
      <c r="F74" s="2">
        <v>5.1329123942479997</v>
      </c>
      <c r="G74">
        <v>2020</v>
      </c>
    </row>
    <row r="75" spans="1:22" x14ac:dyDescent="0.25">
      <c r="A75" t="s">
        <v>4</v>
      </c>
      <c r="B75" s="2">
        <v>250.46095702759999</v>
      </c>
      <c r="C75" s="2">
        <v>363.85350654690001</v>
      </c>
      <c r="D75" s="2">
        <v>17.197377493219999</v>
      </c>
      <c r="E75" s="2">
        <v>106.13861702929999</v>
      </c>
      <c r="F75" s="2">
        <v>737.65045809699996</v>
      </c>
      <c r="G75">
        <v>2020</v>
      </c>
    </row>
    <row r="76" spans="1:22" x14ac:dyDescent="0.25">
      <c r="A76" t="s">
        <v>5</v>
      </c>
      <c r="B76" s="2">
        <v>236</v>
      </c>
      <c r="C76" s="2">
        <v>355</v>
      </c>
      <c r="D76" s="2">
        <v>37</v>
      </c>
      <c r="E76" s="2">
        <v>125</v>
      </c>
      <c r="F76" s="2">
        <v>753</v>
      </c>
      <c r="G76">
        <v>2020</v>
      </c>
    </row>
    <row r="77" spans="1:22" ht="28.15" customHeight="1" x14ac:dyDescent="0.25">
      <c r="A77" s="18" t="s">
        <v>34</v>
      </c>
      <c r="B77" s="18"/>
      <c r="C77" s="18"/>
      <c r="D77" s="18"/>
      <c r="E77" s="18"/>
      <c r="F77" s="18"/>
    </row>
    <row r="79" spans="1:22" x14ac:dyDescent="0.25">
      <c r="A79" t="s">
        <v>19</v>
      </c>
    </row>
    <row r="80" spans="1:22" ht="15.75" thickBot="1" x14ac:dyDescent="0.3">
      <c r="A80" s="1" t="s">
        <v>41</v>
      </c>
      <c r="B80" s="1" t="s">
        <v>0</v>
      </c>
      <c r="C80" s="1" t="s">
        <v>1</v>
      </c>
      <c r="D80" s="1" t="s">
        <v>2</v>
      </c>
      <c r="E80" s="1" t="s">
        <v>3</v>
      </c>
      <c r="F80" s="8" t="s">
        <v>15</v>
      </c>
      <c r="G80" t="s">
        <v>48</v>
      </c>
    </row>
    <row r="81" spans="1:7" x14ac:dyDescent="0.25">
      <c r="A81" t="s">
        <v>13</v>
      </c>
      <c r="B81" s="2">
        <v>371.66078866240002</v>
      </c>
      <c r="C81" s="2">
        <v>534.0861319508</v>
      </c>
      <c r="D81" s="2">
        <v>23.511373073310001</v>
      </c>
      <c r="E81" s="2">
        <v>137.5892214113</v>
      </c>
      <c r="F81" s="2">
        <v>1066.847515098</v>
      </c>
      <c r="G81">
        <v>2020</v>
      </c>
    </row>
    <row r="82" spans="1:7" x14ac:dyDescent="0.25">
      <c r="A82" t="s">
        <v>4</v>
      </c>
      <c r="B82" s="2">
        <v>371.66078866240002</v>
      </c>
      <c r="C82" s="2">
        <v>534.0861319508</v>
      </c>
      <c r="D82" s="2">
        <v>23.511373073310001</v>
      </c>
      <c r="E82" s="2">
        <v>137.5892214113</v>
      </c>
      <c r="F82" s="2">
        <v>1066.847515098</v>
      </c>
      <c r="G82">
        <v>2020</v>
      </c>
    </row>
    <row r="83" spans="1:7" x14ac:dyDescent="0.25">
      <c r="A83" t="s">
        <v>5</v>
      </c>
      <c r="B83" s="2">
        <v>351</v>
      </c>
      <c r="C83" s="2">
        <v>522</v>
      </c>
      <c r="D83" s="2">
        <v>51</v>
      </c>
      <c r="E83" s="2">
        <v>163</v>
      </c>
      <c r="F83" s="2">
        <v>1087</v>
      </c>
      <c r="G83">
        <v>2020</v>
      </c>
    </row>
    <row r="84" spans="1:7" ht="28.15" customHeight="1" x14ac:dyDescent="0.25">
      <c r="A84" s="18" t="s">
        <v>34</v>
      </c>
      <c r="B84" s="18"/>
      <c r="C84" s="18"/>
      <c r="D84" s="18"/>
      <c r="E84" s="18"/>
      <c r="F84" s="18"/>
    </row>
    <row r="86" spans="1:7" x14ac:dyDescent="0.25">
      <c r="A86" t="s">
        <v>33</v>
      </c>
    </row>
    <row r="87" spans="1:7" ht="15.75" thickBot="1" x14ac:dyDescent="0.3">
      <c r="A87" s="1" t="s">
        <v>16</v>
      </c>
      <c r="B87" s="1" t="s">
        <v>0</v>
      </c>
      <c r="C87" s="1" t="s">
        <v>1</v>
      </c>
      <c r="D87" s="1" t="s">
        <v>2</v>
      </c>
      <c r="E87" s="1" t="s">
        <v>3</v>
      </c>
      <c r="F87" s="8" t="s">
        <v>15</v>
      </c>
      <c r="G87" t="s">
        <v>48</v>
      </c>
    </row>
    <row r="88" spans="1:7" x14ac:dyDescent="0.25">
      <c r="A88" t="s">
        <v>30</v>
      </c>
      <c r="B88" s="3">
        <v>219.97090715019999</v>
      </c>
      <c r="C88" s="3">
        <v>298.77970342750001</v>
      </c>
      <c r="D88" s="3">
        <v>14.472647840880001</v>
      </c>
      <c r="E88" s="3">
        <v>95.415472084290002</v>
      </c>
      <c r="F88" s="3">
        <v>628.63873050279994</v>
      </c>
      <c r="G88">
        <v>2020</v>
      </c>
    </row>
    <row r="89" spans="1:7" x14ac:dyDescent="0.25">
      <c r="A89" t="s">
        <v>29</v>
      </c>
      <c r="B89" s="3">
        <v>371.66078866240002</v>
      </c>
      <c r="C89" s="3">
        <v>534.0861319508</v>
      </c>
      <c r="D89" s="3">
        <v>23.511373073310001</v>
      </c>
      <c r="E89" s="3">
        <v>137.5892214113</v>
      </c>
      <c r="F89" s="3">
        <v>1066.847515098</v>
      </c>
      <c r="G89">
        <v>2020</v>
      </c>
    </row>
    <row r="90" spans="1:7" x14ac:dyDescent="0.25">
      <c r="A90" t="s">
        <v>28</v>
      </c>
      <c r="B90" s="3">
        <v>59.185933480320003</v>
      </c>
      <c r="C90" s="3">
        <v>55.942232077100002</v>
      </c>
      <c r="D90" s="3">
        <v>61.555944843159999</v>
      </c>
      <c r="E90" s="3">
        <v>69.348071822470004</v>
      </c>
      <c r="F90" s="3">
        <v>58.924890540260002</v>
      </c>
      <c r="G90">
        <v>2020</v>
      </c>
    </row>
    <row r="94" spans="1:7" x14ac:dyDescent="0.25">
      <c r="A94" s="5" t="s">
        <v>7</v>
      </c>
      <c r="B94" s="4"/>
      <c r="C94" s="4"/>
      <c r="D94" s="4"/>
      <c r="E94" s="4"/>
      <c r="F94" s="4"/>
    </row>
    <row r="96" spans="1:7" x14ac:dyDescent="0.25">
      <c r="A96" t="s">
        <v>18</v>
      </c>
    </row>
    <row r="97" spans="1:7" ht="15.75" thickBot="1" x14ac:dyDescent="0.3">
      <c r="A97" s="1" t="s">
        <v>6</v>
      </c>
      <c r="B97" s="1" t="s">
        <v>0</v>
      </c>
      <c r="C97" s="1" t="s">
        <v>1</v>
      </c>
      <c r="D97" s="1" t="s">
        <v>2</v>
      </c>
      <c r="E97" s="1" t="s">
        <v>3</v>
      </c>
      <c r="F97" s="8" t="s">
        <v>15</v>
      </c>
      <c r="G97" t="s">
        <v>48</v>
      </c>
    </row>
    <row r="98" spans="1:7" x14ac:dyDescent="0.25">
      <c r="A98" t="s">
        <v>10</v>
      </c>
      <c r="B98" s="2">
        <v>19.04374709983</v>
      </c>
      <c r="C98" s="2">
        <v>37.139586828730003</v>
      </c>
      <c r="D98" s="2">
        <v>0.4642257758253</v>
      </c>
      <c r="E98" s="2">
        <v>6.0528130578099999</v>
      </c>
      <c r="F98" s="2">
        <v>62.700372762199997</v>
      </c>
      <c r="G98">
        <v>2019</v>
      </c>
    </row>
    <row r="99" spans="1:7" x14ac:dyDescent="0.25">
      <c r="A99" t="s">
        <v>11</v>
      </c>
      <c r="B99" s="2">
        <v>243.02379721189999</v>
      </c>
      <c r="C99" s="2">
        <v>313.04443547879998</v>
      </c>
      <c r="D99" s="2">
        <v>18.129337843510001</v>
      </c>
      <c r="E99" s="2">
        <v>85.644506398100006</v>
      </c>
      <c r="F99" s="2">
        <v>659.84207693229996</v>
      </c>
      <c r="G99">
        <v>2019</v>
      </c>
    </row>
    <row r="100" spans="1:7" x14ac:dyDescent="0.25">
      <c r="A100" t="s">
        <v>12</v>
      </c>
      <c r="B100" s="2">
        <v>0</v>
      </c>
      <c r="C100" s="2">
        <v>1.1443532303270001</v>
      </c>
      <c r="D100" s="2">
        <v>0</v>
      </c>
      <c r="E100" s="2">
        <v>0</v>
      </c>
      <c r="F100" s="2">
        <v>1.1443532303270001</v>
      </c>
      <c r="G100">
        <v>2019</v>
      </c>
    </row>
    <row r="101" spans="1:7" x14ac:dyDescent="0.25">
      <c r="A101" t="s">
        <v>4</v>
      </c>
      <c r="B101" s="2">
        <v>262.06754431180002</v>
      </c>
      <c r="C101" s="2">
        <v>351.3283755379</v>
      </c>
      <c r="D101" s="2">
        <v>18.593563619329998</v>
      </c>
      <c r="E101" s="2">
        <v>91.697319455910005</v>
      </c>
      <c r="F101" s="2">
        <v>723.68680292490001</v>
      </c>
      <c r="G101">
        <v>2019</v>
      </c>
    </row>
    <row r="102" spans="1:7" x14ac:dyDescent="0.25">
      <c r="A102" t="s">
        <v>5</v>
      </c>
      <c r="B102" s="2">
        <v>239</v>
      </c>
      <c r="C102" s="2">
        <v>319</v>
      </c>
      <c r="D102" s="2">
        <v>68</v>
      </c>
      <c r="E102" s="2">
        <v>147</v>
      </c>
      <c r="F102" s="2">
        <v>773</v>
      </c>
      <c r="G102">
        <v>2019</v>
      </c>
    </row>
    <row r="103" spans="1:7" ht="28.15" customHeight="1" x14ac:dyDescent="0.25">
      <c r="A103" s="18" t="s">
        <v>32</v>
      </c>
      <c r="B103" s="18"/>
      <c r="C103" s="18"/>
      <c r="D103" s="18"/>
      <c r="E103" s="18"/>
      <c r="F103" s="18"/>
    </row>
    <row r="105" spans="1:7" x14ac:dyDescent="0.25">
      <c r="A105" t="s">
        <v>17</v>
      </c>
    </row>
    <row r="106" spans="1:7" ht="15.75" thickBot="1" x14ac:dyDescent="0.3">
      <c r="A106" s="1" t="s">
        <v>6</v>
      </c>
      <c r="B106" s="1" t="s">
        <v>0</v>
      </c>
      <c r="C106" s="1" t="s">
        <v>1</v>
      </c>
      <c r="D106" s="1" t="s">
        <v>2</v>
      </c>
      <c r="E106" s="1" t="s">
        <v>3</v>
      </c>
      <c r="F106" s="8" t="s">
        <v>15</v>
      </c>
      <c r="G106" s="20" t="s">
        <v>48</v>
      </c>
    </row>
    <row r="107" spans="1:7" x14ac:dyDescent="0.25">
      <c r="A107" t="s">
        <v>13</v>
      </c>
      <c r="B107" s="2">
        <v>336.6005852673</v>
      </c>
      <c r="C107" s="2">
        <v>511.25193957419998</v>
      </c>
      <c r="D107" s="2">
        <v>24.06468566977</v>
      </c>
      <c r="E107" s="2">
        <v>134.00954166279999</v>
      </c>
      <c r="F107" s="2">
        <v>1005.9267521739999</v>
      </c>
      <c r="G107" s="21">
        <v>2019</v>
      </c>
    </row>
    <row r="108" spans="1:7" x14ac:dyDescent="0.25">
      <c r="A108" t="s">
        <v>4</v>
      </c>
      <c r="B108" s="2">
        <v>336.6005852673</v>
      </c>
      <c r="C108" s="2">
        <v>511.25193957419998</v>
      </c>
      <c r="D108" s="2">
        <v>24.06468566977</v>
      </c>
      <c r="E108" s="2">
        <v>134.00954166279999</v>
      </c>
      <c r="F108" s="2">
        <v>1005.9267521739999</v>
      </c>
      <c r="G108" s="22">
        <v>2019</v>
      </c>
    </row>
    <row r="109" spans="1:7" x14ac:dyDescent="0.25">
      <c r="A109" t="s">
        <v>5</v>
      </c>
      <c r="B109" s="2">
        <v>306</v>
      </c>
      <c r="C109" s="2">
        <v>461</v>
      </c>
      <c r="D109" s="2">
        <v>89</v>
      </c>
      <c r="E109" s="2">
        <v>214</v>
      </c>
      <c r="F109" s="2">
        <v>1070</v>
      </c>
      <c r="G109" s="21">
        <v>2019</v>
      </c>
    </row>
    <row r="110" spans="1:7" ht="28.15" customHeight="1" x14ac:dyDescent="0.25">
      <c r="A110" s="18" t="s">
        <v>32</v>
      </c>
      <c r="B110" s="18"/>
      <c r="C110" s="18"/>
      <c r="D110" s="18"/>
      <c r="E110" s="18"/>
      <c r="F110" s="18"/>
    </row>
    <row r="112" spans="1:7" x14ac:dyDescent="0.25">
      <c r="A112" t="s">
        <v>31</v>
      </c>
    </row>
    <row r="113" spans="1:7" ht="15.75" thickBot="1" x14ac:dyDescent="0.3">
      <c r="A113" s="1" t="s">
        <v>16</v>
      </c>
      <c r="B113" s="1" t="s">
        <v>0</v>
      </c>
      <c r="C113" s="1" t="s">
        <v>1</v>
      </c>
      <c r="D113" s="1" t="s">
        <v>2</v>
      </c>
      <c r="E113" s="1" t="s">
        <v>3</v>
      </c>
      <c r="F113" s="8" t="s">
        <v>15</v>
      </c>
      <c r="G113" s="20" t="s">
        <v>48</v>
      </c>
    </row>
    <row r="114" spans="1:7" x14ac:dyDescent="0.25">
      <c r="A114" t="s">
        <v>30</v>
      </c>
      <c r="B114" s="3">
        <v>243.02379721189999</v>
      </c>
      <c r="C114" s="3">
        <v>313.04443547879998</v>
      </c>
      <c r="D114" s="3">
        <v>18.129337843510001</v>
      </c>
      <c r="E114" s="3">
        <v>85.644506398100006</v>
      </c>
      <c r="F114" s="3">
        <v>659.84207693229996</v>
      </c>
      <c r="G114" s="21">
        <v>2019</v>
      </c>
    </row>
    <row r="115" spans="1:7" x14ac:dyDescent="0.25">
      <c r="A115" t="s">
        <v>29</v>
      </c>
      <c r="B115" s="3">
        <v>336.6005852673</v>
      </c>
      <c r="C115" s="3">
        <v>511.25193957419998</v>
      </c>
      <c r="D115" s="3">
        <v>24.06468566977</v>
      </c>
      <c r="E115" s="3">
        <v>134.00954166279999</v>
      </c>
      <c r="F115" s="3">
        <v>1005.9267521739999</v>
      </c>
      <c r="G115" s="22">
        <v>2019</v>
      </c>
    </row>
    <row r="116" spans="1:7" x14ac:dyDescent="0.25">
      <c r="A116" t="s">
        <v>28</v>
      </c>
      <c r="B116" s="3">
        <v>72.199457710070007</v>
      </c>
      <c r="C116" s="3">
        <v>61.230953126469998</v>
      </c>
      <c r="D116" s="3">
        <v>75.335859741890005</v>
      </c>
      <c r="E116" s="3">
        <v>63.909259994030002</v>
      </c>
      <c r="F116" s="3">
        <v>65.595439777920006</v>
      </c>
      <c r="G116" s="21">
        <v>2019</v>
      </c>
    </row>
  </sheetData>
  <mergeCells count="9">
    <mergeCell ref="A14:F14"/>
    <mergeCell ref="A103:F103"/>
    <mergeCell ref="A110:F110"/>
    <mergeCell ref="A51:F51"/>
    <mergeCell ref="A58:F58"/>
    <mergeCell ref="A25:F25"/>
    <mergeCell ref="A32:F32"/>
    <mergeCell ref="A77:F77"/>
    <mergeCell ref="A84:F84"/>
  </mergeCells>
  <dataValidations count="15">
    <dataValidation allowBlank="1" error="dddddddd-dddd-dddd-dddd-dddddddddddd" sqref="I16" xr:uid="{00000000-0002-0000-0000-00000C000000}"/>
    <dataValidation allowBlank="1" showErrorMessage="1" prompt="3a2c1d5c-aac1-444b-acf2-05c79e6da651" sqref="A112 F116" xr:uid="{00000000-0002-0000-0000-00000B000000}"/>
    <dataValidation allowBlank="1" showErrorMessage="1" prompt="e765c7b3-e896-4091-a053-42d3672669b9" sqref="A105" xr:uid="{00000000-0002-0000-0000-00000A000000}"/>
    <dataValidation allowBlank="1" showErrorMessage="1" prompt="acf1276e-08a9-4023-8f91-59a84be59882" sqref="A96" xr:uid="{00000000-0002-0000-0000-000009000000}"/>
    <dataValidation allowBlank="1" showErrorMessage="1" prompt="f7303338-b4dc-41e4-acec-39242854ee72" sqref="A86 F90" xr:uid="{00000000-0002-0000-0000-000008000000}"/>
    <dataValidation allowBlank="1" showErrorMessage="1" prompt="964beff6-db3f-40de-8d77-69ed1d6c2768" sqref="A79" xr:uid="{00000000-0002-0000-0000-000007000000}"/>
    <dataValidation allowBlank="1" showErrorMessage="1" prompt="1e0e345a-7de8-4148-beb3-7f0523cf1b81" sqref="A70" xr:uid="{00000000-0002-0000-0000-000006000000}"/>
    <dataValidation allowBlank="1" showErrorMessage="1" prompt="0b94f649-5720-4241-8609-16f5c07a4dc7" sqref="A34 F38" xr:uid="{00000000-0002-0000-0000-000005000000}"/>
    <dataValidation allowBlank="1" showErrorMessage="1" prompt="15ede814-187c-477f-baa4-4098a1948a1e" sqref="A27" xr:uid="{00000000-0002-0000-0000-000004000000}"/>
    <dataValidation allowBlank="1" showErrorMessage="1" prompt="a42e0849-7363-447d-b196-353cf1cab73e" sqref="A18" xr:uid="{00000000-0002-0000-0000-000003000000}"/>
    <dataValidation allowBlank="1" showErrorMessage="1" prompt="788f5c3e-52eb-4dd0-adf7-29bc3c49e748" sqref="S62 V66" xr:uid="{00000000-0002-0000-0000-000002000000}"/>
    <dataValidation allowBlank="1" showErrorMessage="1" prompt="dc017357-fb0d-49b1-a25f-68829ca9098c" sqref="S55" xr:uid="{00000000-0002-0000-0000-000001000000}"/>
    <dataValidation allowBlank="1" error="3cc5db3a-7525-41d6-bbcd-4e1e07898504" sqref="A44" xr:uid="{34740AED-AC45-401C-9A61-AE3FBA18E534}"/>
    <dataValidation allowBlank="1" showErrorMessage="1" prompt="fbe7b46c-c54d-4847-8fdf-d1808c43b735" sqref="A44" xr:uid="{F10FA221-4E8E-4A41-9453-0820E9A34675}"/>
    <dataValidation allowBlank="1" showErrorMessage="1" prompt="09533386-4ce0-4c31-b52f-6bd61eb5856e" sqref="A53" xr:uid="{8AA92AA1-0CA3-4F77-AB10-91973B951DBD}"/>
  </dataValidations>
  <pageMargins left="0.7" right="0.7" top="0.75" bottom="0.75" header="0.3" footer="0.3"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A39E-3F00-4AC5-B462-45DA35D11D02}">
  <dimension ref="A1:F5"/>
  <sheetViews>
    <sheetView workbookViewId="0">
      <selection activeCell="F13" sqref="F13:F14"/>
    </sheetView>
  </sheetViews>
  <sheetFormatPr baseColWidth="10" defaultRowHeight="15" x14ac:dyDescent="0.25"/>
  <sheetData>
    <row r="1" spans="1:6" x14ac:dyDescent="0.25">
      <c r="A1" t="s">
        <v>52</v>
      </c>
      <c r="B1" t="s">
        <v>0</v>
      </c>
      <c r="C1" t="s">
        <v>1</v>
      </c>
      <c r="D1" t="s">
        <v>2</v>
      </c>
      <c r="E1" t="s">
        <v>3</v>
      </c>
      <c r="F1" t="s">
        <v>44</v>
      </c>
    </row>
    <row r="2" spans="1:6" x14ac:dyDescent="0.25">
      <c r="A2">
        <v>2019</v>
      </c>
      <c r="B2">
        <v>0.72199457710070003</v>
      </c>
      <c r="C2">
        <v>0.6123095312647</v>
      </c>
      <c r="D2">
        <v>0.7533585974189001</v>
      </c>
      <c r="E2">
        <v>0.63909259994029999</v>
      </c>
      <c r="F2">
        <v>0.65595439777920006</v>
      </c>
    </row>
    <row r="3" spans="1:6" x14ac:dyDescent="0.25">
      <c r="A3">
        <v>2020</v>
      </c>
      <c r="B3">
        <v>0.59185933480320008</v>
      </c>
      <c r="C3">
        <v>0.55942232077100007</v>
      </c>
      <c r="D3">
        <v>0.61555944843160004</v>
      </c>
      <c r="E3">
        <v>0.69348071822470003</v>
      </c>
      <c r="F3">
        <v>0.5892489054026</v>
      </c>
    </row>
    <row r="4" spans="1:6" x14ac:dyDescent="0.25">
      <c r="A4">
        <v>2023</v>
      </c>
      <c r="B4">
        <v>0.71875164288019999</v>
      </c>
      <c r="C4">
        <v>0.54749891982869991</v>
      </c>
      <c r="D4">
        <v>0</v>
      </c>
      <c r="E4">
        <v>0.68396844463950002</v>
      </c>
      <c r="F4">
        <v>0.61888015147499997</v>
      </c>
    </row>
    <row r="5" spans="1:6" x14ac:dyDescent="0.25">
      <c r="A5">
        <v>2024</v>
      </c>
      <c r="B5">
        <v>0.62783768224299996</v>
      </c>
      <c r="C5">
        <v>0.56446222999520002</v>
      </c>
      <c r="D5">
        <v>0</v>
      </c>
      <c r="E5">
        <v>0.67988867848110002</v>
      </c>
      <c r="F5">
        <v>0.59842233209109996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FF17-E630-4F00-A33C-F15E326F2D98}">
  <dimension ref="A1:D101"/>
  <sheetViews>
    <sheetView topLeftCell="A19" workbookViewId="0">
      <selection activeCell="G27" sqref="G27"/>
    </sheetView>
  </sheetViews>
  <sheetFormatPr baseColWidth="10" defaultRowHeight="15" x14ac:dyDescent="0.25"/>
  <cols>
    <col min="1" max="1" width="9.42578125" bestFit="1" customWidth="1"/>
    <col min="2" max="2" width="5.28515625" bestFit="1" customWidth="1"/>
    <col min="3" max="3" width="10" bestFit="1" customWidth="1"/>
    <col min="4" max="4" width="12" bestFit="1" customWidth="1"/>
  </cols>
  <sheetData>
    <row r="1" spans="1:4" x14ac:dyDescent="0.25">
      <c r="A1" t="s">
        <v>49</v>
      </c>
      <c r="B1" t="s">
        <v>48</v>
      </c>
      <c r="C1" t="s">
        <v>50</v>
      </c>
      <c r="D1" t="s">
        <v>51</v>
      </c>
    </row>
    <row r="2" spans="1:4" x14ac:dyDescent="0.25">
      <c r="A2" s="23" t="s">
        <v>10</v>
      </c>
      <c r="B2">
        <v>2024</v>
      </c>
      <c r="C2" s="23" t="s">
        <v>0</v>
      </c>
      <c r="D2">
        <v>27.789317440840001</v>
      </c>
    </row>
    <row r="3" spans="1:4" x14ac:dyDescent="0.25">
      <c r="A3" s="23" t="s">
        <v>10</v>
      </c>
      <c r="B3">
        <v>2024</v>
      </c>
      <c r="C3" s="23" t="s">
        <v>1</v>
      </c>
      <c r="D3">
        <v>70.797048262619995</v>
      </c>
    </row>
    <row r="4" spans="1:4" x14ac:dyDescent="0.25">
      <c r="A4" s="23" t="s">
        <v>10</v>
      </c>
      <c r="B4">
        <v>2024</v>
      </c>
      <c r="C4" s="23" t="s">
        <v>2</v>
      </c>
      <c r="D4">
        <v>4.2752947363020004</v>
      </c>
    </row>
    <row r="5" spans="1:4" x14ac:dyDescent="0.25">
      <c r="A5" s="23" t="s">
        <v>10</v>
      </c>
      <c r="B5">
        <v>2024</v>
      </c>
      <c r="C5" s="23" t="s">
        <v>3</v>
      </c>
      <c r="D5">
        <v>3.9032298612130001</v>
      </c>
    </row>
    <row r="6" spans="1:4" x14ac:dyDescent="0.25">
      <c r="A6" s="23" t="s">
        <v>10</v>
      </c>
      <c r="B6">
        <v>2024</v>
      </c>
      <c r="C6" s="23" t="s">
        <v>44</v>
      </c>
      <c r="D6">
        <v>106.76489030099999</v>
      </c>
    </row>
    <row r="7" spans="1:4" x14ac:dyDescent="0.25">
      <c r="A7" s="23" t="s">
        <v>11</v>
      </c>
      <c r="B7">
        <v>2024</v>
      </c>
      <c r="C7" s="23" t="s">
        <v>0</v>
      </c>
      <c r="D7">
        <v>231.66378639609999</v>
      </c>
    </row>
    <row r="8" spans="1:4" x14ac:dyDescent="0.25">
      <c r="A8" s="23" t="s">
        <v>11</v>
      </c>
      <c r="B8">
        <v>2024</v>
      </c>
      <c r="C8" s="23" t="s">
        <v>1</v>
      </c>
      <c r="D8">
        <v>319.70908455080001</v>
      </c>
    </row>
    <row r="9" spans="1:4" x14ac:dyDescent="0.25">
      <c r="A9" s="23" t="s">
        <v>11</v>
      </c>
      <c r="B9">
        <v>2024</v>
      </c>
      <c r="C9" s="23" t="s">
        <v>2</v>
      </c>
      <c r="D9">
        <v>14.061030283079999</v>
      </c>
    </row>
    <row r="10" spans="1:4" x14ac:dyDescent="0.25">
      <c r="A10" s="23" t="s">
        <v>11</v>
      </c>
      <c r="B10">
        <v>2024</v>
      </c>
      <c r="C10" s="23" t="s">
        <v>3</v>
      </c>
      <c r="D10">
        <v>78.600062332679997</v>
      </c>
    </row>
    <row r="11" spans="1:4" x14ac:dyDescent="0.25">
      <c r="A11" s="23" t="s">
        <v>11</v>
      </c>
      <c r="B11">
        <v>2024</v>
      </c>
      <c r="C11" s="23" t="s">
        <v>44</v>
      </c>
      <c r="D11">
        <v>644.03396356259998</v>
      </c>
    </row>
    <row r="12" spans="1:4" x14ac:dyDescent="0.25">
      <c r="A12" s="23" t="s">
        <v>12</v>
      </c>
      <c r="B12">
        <v>2024</v>
      </c>
      <c r="C12" s="23" t="s">
        <v>0</v>
      </c>
      <c r="D12">
        <v>0</v>
      </c>
    </row>
    <row r="13" spans="1:4" x14ac:dyDescent="0.25">
      <c r="A13" s="23" t="s">
        <v>12</v>
      </c>
      <c r="B13">
        <v>2024</v>
      </c>
      <c r="C13" s="23" t="s">
        <v>1</v>
      </c>
      <c r="D13">
        <v>0.84319230938919998</v>
      </c>
    </row>
    <row r="14" spans="1:4" x14ac:dyDescent="0.25">
      <c r="A14" s="23" t="s">
        <v>12</v>
      </c>
      <c r="B14">
        <v>2024</v>
      </c>
      <c r="C14" s="23" t="s">
        <v>2</v>
      </c>
      <c r="D14">
        <v>0</v>
      </c>
    </row>
    <row r="15" spans="1:4" x14ac:dyDescent="0.25">
      <c r="A15" s="23" t="s">
        <v>12</v>
      </c>
      <c r="B15">
        <v>2024</v>
      </c>
      <c r="C15" s="23" t="s">
        <v>3</v>
      </c>
      <c r="D15">
        <v>0</v>
      </c>
    </row>
    <row r="16" spans="1:4" x14ac:dyDescent="0.25">
      <c r="A16" s="23" t="s">
        <v>12</v>
      </c>
      <c r="B16">
        <v>2024</v>
      </c>
      <c r="C16" s="23" t="s">
        <v>44</v>
      </c>
      <c r="D16">
        <v>0.84319230938919998</v>
      </c>
    </row>
    <row r="17" spans="1:4" x14ac:dyDescent="0.25">
      <c r="A17" s="23" t="s">
        <v>4</v>
      </c>
      <c r="B17">
        <v>2024</v>
      </c>
      <c r="C17" s="23" t="s">
        <v>0</v>
      </c>
      <c r="D17">
        <v>259.45310383690003</v>
      </c>
    </row>
    <row r="18" spans="1:4" x14ac:dyDescent="0.25">
      <c r="A18" s="23" t="s">
        <v>4</v>
      </c>
      <c r="B18">
        <v>2024</v>
      </c>
      <c r="C18" s="23" t="s">
        <v>1</v>
      </c>
      <c r="D18">
        <v>391.3493251228</v>
      </c>
    </row>
    <row r="19" spans="1:4" x14ac:dyDescent="0.25">
      <c r="A19" s="23" t="s">
        <v>4</v>
      </c>
      <c r="B19">
        <v>2024</v>
      </c>
      <c r="C19" s="23" t="s">
        <v>2</v>
      </c>
      <c r="D19">
        <v>18.336325019379998</v>
      </c>
    </row>
    <row r="20" spans="1:4" x14ac:dyDescent="0.25">
      <c r="A20" s="23" t="s">
        <v>4</v>
      </c>
      <c r="B20">
        <v>2024</v>
      </c>
      <c r="C20" s="23" t="s">
        <v>3</v>
      </c>
      <c r="D20">
        <v>82.503292193890005</v>
      </c>
    </row>
    <row r="21" spans="1:4" x14ac:dyDescent="0.25">
      <c r="A21" s="23" t="s">
        <v>4</v>
      </c>
      <c r="B21">
        <v>2024</v>
      </c>
      <c r="C21" s="23" t="s">
        <v>44</v>
      </c>
      <c r="D21">
        <v>751.64204617300004</v>
      </c>
    </row>
    <row r="22" spans="1:4" x14ac:dyDescent="0.25">
      <c r="A22" s="23" t="s">
        <v>5</v>
      </c>
      <c r="B22">
        <v>2024</v>
      </c>
      <c r="C22" s="23" t="s">
        <v>0</v>
      </c>
      <c r="D22">
        <v>268</v>
      </c>
    </row>
    <row r="23" spans="1:4" x14ac:dyDescent="0.25">
      <c r="A23" s="23" t="s">
        <v>5</v>
      </c>
      <c r="B23">
        <v>2024</v>
      </c>
      <c r="C23" s="23" t="s">
        <v>1</v>
      </c>
      <c r="D23">
        <v>354</v>
      </c>
    </row>
    <row r="24" spans="1:4" x14ac:dyDescent="0.25">
      <c r="A24" s="23" t="s">
        <v>5</v>
      </c>
      <c r="B24">
        <v>2024</v>
      </c>
      <c r="C24" s="23" t="s">
        <v>2</v>
      </c>
      <c r="D24">
        <v>14</v>
      </c>
    </row>
    <row r="25" spans="1:4" x14ac:dyDescent="0.25">
      <c r="A25" s="23" t="s">
        <v>5</v>
      </c>
      <c r="B25">
        <v>2024</v>
      </c>
      <c r="C25" s="23" t="s">
        <v>3</v>
      </c>
      <c r="D25">
        <v>79</v>
      </c>
    </row>
    <row r="26" spans="1:4" x14ac:dyDescent="0.25">
      <c r="A26" s="23" t="s">
        <v>5</v>
      </c>
      <c r="B26">
        <v>2024</v>
      </c>
      <c r="C26" s="23" t="s">
        <v>44</v>
      </c>
      <c r="D26">
        <v>715</v>
      </c>
    </row>
    <row r="27" spans="1:4" x14ac:dyDescent="0.25">
      <c r="A27" s="23" t="s">
        <v>10</v>
      </c>
      <c r="B27">
        <v>2023</v>
      </c>
      <c r="C27" s="23" t="s">
        <v>0</v>
      </c>
      <c r="D27">
        <v>21.958409068009999</v>
      </c>
    </row>
    <row r="28" spans="1:4" x14ac:dyDescent="0.25">
      <c r="A28" s="23" t="s">
        <v>10</v>
      </c>
      <c r="B28">
        <v>2023</v>
      </c>
      <c r="C28" s="23" t="s">
        <v>1</v>
      </c>
      <c r="D28">
        <v>57.653198093029999</v>
      </c>
    </row>
    <row r="29" spans="1:4" x14ac:dyDescent="0.25">
      <c r="A29" s="23" t="s">
        <v>10</v>
      </c>
      <c r="B29">
        <v>2023</v>
      </c>
      <c r="C29" s="23" t="s">
        <v>2</v>
      </c>
      <c r="D29">
        <v>0.61311083206880002</v>
      </c>
    </row>
    <row r="30" spans="1:4" x14ac:dyDescent="0.25">
      <c r="A30" s="23" t="s">
        <v>10</v>
      </c>
      <c r="B30">
        <v>2023</v>
      </c>
      <c r="C30" s="23" t="s">
        <v>3</v>
      </c>
      <c r="D30">
        <v>8.8520140455360004</v>
      </c>
    </row>
    <row r="31" spans="1:4" x14ac:dyDescent="0.25">
      <c r="A31" s="23" t="s">
        <v>10</v>
      </c>
      <c r="B31">
        <v>2023</v>
      </c>
      <c r="C31" s="23" t="s">
        <v>44</v>
      </c>
      <c r="D31">
        <v>89.076732038649993</v>
      </c>
    </row>
    <row r="32" spans="1:4" x14ac:dyDescent="0.25">
      <c r="A32" s="23" t="s">
        <v>11</v>
      </c>
      <c r="B32">
        <v>2023</v>
      </c>
      <c r="C32" s="23" t="s">
        <v>0</v>
      </c>
      <c r="D32">
        <v>237.11389019629999</v>
      </c>
    </row>
    <row r="33" spans="1:4" x14ac:dyDescent="0.25">
      <c r="A33" s="23" t="s">
        <v>11</v>
      </c>
      <c r="B33">
        <v>2023</v>
      </c>
      <c r="C33" s="23" t="s">
        <v>1</v>
      </c>
      <c r="D33">
        <v>274.28849936289998</v>
      </c>
    </row>
    <row r="34" spans="1:4" x14ac:dyDescent="0.25">
      <c r="A34" s="23" t="s">
        <v>11</v>
      </c>
      <c r="B34">
        <v>2023</v>
      </c>
      <c r="C34" s="23" t="s">
        <v>2</v>
      </c>
      <c r="D34">
        <v>11.2286621068</v>
      </c>
    </row>
    <row r="35" spans="1:4" x14ac:dyDescent="0.25">
      <c r="A35" s="23" t="s">
        <v>11</v>
      </c>
      <c r="B35">
        <v>2023</v>
      </c>
      <c r="C35" s="23" t="s">
        <v>3</v>
      </c>
      <c r="D35">
        <v>74.724310217880003</v>
      </c>
    </row>
    <row r="36" spans="1:4" x14ac:dyDescent="0.25">
      <c r="A36" s="23" t="s">
        <v>11</v>
      </c>
      <c r="B36">
        <v>2023</v>
      </c>
      <c r="C36" s="23" t="s">
        <v>44</v>
      </c>
      <c r="D36">
        <v>597.35536188380001</v>
      </c>
    </row>
    <row r="37" spans="1:4" x14ac:dyDescent="0.25">
      <c r="A37" s="23" t="s">
        <v>12</v>
      </c>
      <c r="B37">
        <v>2023</v>
      </c>
      <c r="C37" s="23" t="s">
        <v>0</v>
      </c>
      <c r="D37">
        <v>1.915417242255</v>
      </c>
    </row>
    <row r="38" spans="1:4" x14ac:dyDescent="0.25">
      <c r="A38" s="23" t="s">
        <v>12</v>
      </c>
      <c r="B38">
        <v>2023</v>
      </c>
      <c r="C38" s="23" t="s">
        <v>1</v>
      </c>
      <c r="D38">
        <v>0.42583884323170001</v>
      </c>
    </row>
    <row r="39" spans="1:4" x14ac:dyDescent="0.25">
      <c r="A39" s="23" t="s">
        <v>12</v>
      </c>
      <c r="B39">
        <v>2023</v>
      </c>
      <c r="C39" s="23" t="s">
        <v>2</v>
      </c>
      <c r="D39">
        <v>2.170524073088</v>
      </c>
    </row>
    <row r="40" spans="1:4" x14ac:dyDescent="0.25">
      <c r="A40" s="23" t="s">
        <v>12</v>
      </c>
      <c r="B40">
        <v>2023</v>
      </c>
      <c r="C40" s="23" t="s">
        <v>3</v>
      </c>
      <c r="D40">
        <v>0</v>
      </c>
    </row>
    <row r="41" spans="1:4" x14ac:dyDescent="0.25">
      <c r="A41" s="23" t="s">
        <v>12</v>
      </c>
      <c r="B41">
        <v>2023</v>
      </c>
      <c r="C41" s="23" t="s">
        <v>44</v>
      </c>
      <c r="D41">
        <v>4.5117801585750001</v>
      </c>
    </row>
    <row r="42" spans="1:4" x14ac:dyDescent="0.25">
      <c r="A42" s="23" t="s">
        <v>4</v>
      </c>
      <c r="B42">
        <v>2023</v>
      </c>
      <c r="C42" s="23" t="s">
        <v>0</v>
      </c>
      <c r="D42">
        <v>260.98771650660001</v>
      </c>
    </row>
    <row r="43" spans="1:4" x14ac:dyDescent="0.25">
      <c r="A43" s="23" t="s">
        <v>4</v>
      </c>
      <c r="B43">
        <v>2023</v>
      </c>
      <c r="C43" s="23" t="s">
        <v>1</v>
      </c>
      <c r="D43">
        <v>332.36753629909998</v>
      </c>
    </row>
    <row r="44" spans="1:4" x14ac:dyDescent="0.25">
      <c r="A44" s="23" t="s">
        <v>4</v>
      </c>
      <c r="B44">
        <v>2023</v>
      </c>
      <c r="C44" s="23" t="s">
        <v>2</v>
      </c>
      <c r="D44">
        <v>14.012297011959999</v>
      </c>
    </row>
    <row r="45" spans="1:4" x14ac:dyDescent="0.25">
      <c r="A45" s="23" t="s">
        <v>4</v>
      </c>
      <c r="B45">
        <v>2023</v>
      </c>
      <c r="C45" s="23" t="s">
        <v>3</v>
      </c>
      <c r="D45">
        <v>83.576324263410001</v>
      </c>
    </row>
    <row r="46" spans="1:4" x14ac:dyDescent="0.25">
      <c r="A46" s="23" t="s">
        <v>4</v>
      </c>
      <c r="B46">
        <v>2023</v>
      </c>
      <c r="C46" s="23" t="s">
        <v>44</v>
      </c>
      <c r="D46">
        <v>690.94387408110003</v>
      </c>
    </row>
    <row r="47" spans="1:4" x14ac:dyDescent="0.25">
      <c r="A47" s="23" t="s">
        <v>5</v>
      </c>
      <c r="B47">
        <v>2023</v>
      </c>
      <c r="C47" s="23" t="s">
        <v>0</v>
      </c>
      <c r="D47">
        <v>241</v>
      </c>
    </row>
    <row r="48" spans="1:4" x14ac:dyDescent="0.25">
      <c r="A48" s="23" t="s">
        <v>5</v>
      </c>
      <c r="B48">
        <v>2023</v>
      </c>
      <c r="C48" s="23" t="s">
        <v>1</v>
      </c>
      <c r="D48">
        <v>281</v>
      </c>
    </row>
    <row r="49" spans="1:4" x14ac:dyDescent="0.25">
      <c r="A49" s="23" t="s">
        <v>5</v>
      </c>
      <c r="B49">
        <v>2023</v>
      </c>
      <c r="C49" s="23" t="s">
        <v>2</v>
      </c>
      <c r="D49">
        <v>12</v>
      </c>
    </row>
    <row r="50" spans="1:4" x14ac:dyDescent="0.25">
      <c r="A50" s="23" t="s">
        <v>5</v>
      </c>
      <c r="B50">
        <v>2023</v>
      </c>
      <c r="C50" s="23" t="s">
        <v>3</v>
      </c>
      <c r="D50">
        <v>68</v>
      </c>
    </row>
    <row r="51" spans="1:4" x14ac:dyDescent="0.25">
      <c r="A51" s="23" t="s">
        <v>5</v>
      </c>
      <c r="B51">
        <v>2023</v>
      </c>
      <c r="C51" s="23" t="s">
        <v>44</v>
      </c>
      <c r="D51">
        <v>602</v>
      </c>
    </row>
    <row r="52" spans="1:4" x14ac:dyDescent="0.25">
      <c r="A52" s="23" t="s">
        <v>10</v>
      </c>
      <c r="B52">
        <v>2020</v>
      </c>
      <c r="C52" s="23" t="s">
        <v>0</v>
      </c>
      <c r="D52">
        <v>27.05841521975</v>
      </c>
    </row>
    <row r="53" spans="1:4" x14ac:dyDescent="0.25">
      <c r="A53" s="23" t="s">
        <v>10</v>
      </c>
      <c r="B53">
        <v>2020</v>
      </c>
      <c r="C53" s="23" t="s">
        <v>1</v>
      </c>
      <c r="D53">
        <v>64.090494935069998</v>
      </c>
    </row>
    <row r="54" spans="1:4" x14ac:dyDescent="0.25">
      <c r="A54" s="23" t="s">
        <v>10</v>
      </c>
      <c r="B54">
        <v>2020</v>
      </c>
      <c r="C54" s="23" t="s">
        <v>2</v>
      </c>
      <c r="D54">
        <v>2.7247296523369999</v>
      </c>
    </row>
    <row r="55" spans="1:4" x14ac:dyDescent="0.25">
      <c r="A55" s="23" t="s">
        <v>10</v>
      </c>
      <c r="B55">
        <v>2020</v>
      </c>
      <c r="C55" s="23" t="s">
        <v>3</v>
      </c>
      <c r="D55">
        <v>10.00517539272</v>
      </c>
    </row>
    <row r="56" spans="1:4" x14ac:dyDescent="0.25">
      <c r="A56" s="23" t="s">
        <v>10</v>
      </c>
      <c r="B56">
        <v>2020</v>
      </c>
      <c r="C56" s="23" t="s">
        <v>44</v>
      </c>
      <c r="D56">
        <v>103.8788151999</v>
      </c>
    </row>
    <row r="57" spans="1:4" x14ac:dyDescent="0.25">
      <c r="A57" s="23" t="s">
        <v>11</v>
      </c>
      <c r="B57">
        <v>2020</v>
      </c>
      <c r="C57" s="23" t="s">
        <v>0</v>
      </c>
      <c r="D57">
        <v>219.97090715019999</v>
      </c>
    </row>
    <row r="58" spans="1:4" x14ac:dyDescent="0.25">
      <c r="A58" s="23" t="s">
        <v>11</v>
      </c>
      <c r="B58">
        <v>2020</v>
      </c>
      <c r="C58" s="23" t="s">
        <v>1</v>
      </c>
      <c r="D58">
        <v>298.77970342750001</v>
      </c>
    </row>
    <row r="59" spans="1:4" x14ac:dyDescent="0.25">
      <c r="A59" s="23" t="s">
        <v>11</v>
      </c>
      <c r="B59">
        <v>2020</v>
      </c>
      <c r="C59" s="23" t="s">
        <v>2</v>
      </c>
      <c r="D59">
        <v>14.472647840880001</v>
      </c>
    </row>
    <row r="60" spans="1:4" x14ac:dyDescent="0.25">
      <c r="A60" s="23" t="s">
        <v>11</v>
      </c>
      <c r="B60">
        <v>2020</v>
      </c>
      <c r="C60" s="23" t="s">
        <v>3</v>
      </c>
      <c r="D60">
        <v>95.415472084290002</v>
      </c>
    </row>
    <row r="61" spans="1:4" x14ac:dyDescent="0.25">
      <c r="A61" s="23" t="s">
        <v>11</v>
      </c>
      <c r="B61">
        <v>2020</v>
      </c>
      <c r="C61" s="23" t="s">
        <v>44</v>
      </c>
      <c r="D61">
        <v>628.63873050279994</v>
      </c>
    </row>
    <row r="62" spans="1:4" x14ac:dyDescent="0.25">
      <c r="A62" s="23" t="s">
        <v>12</v>
      </c>
      <c r="B62">
        <v>2020</v>
      </c>
      <c r="C62" s="23" t="s">
        <v>0</v>
      </c>
      <c r="D62">
        <v>3.4316346576510002</v>
      </c>
    </row>
    <row r="63" spans="1:4" x14ac:dyDescent="0.25">
      <c r="A63" s="23" t="s">
        <v>12</v>
      </c>
      <c r="B63">
        <v>2020</v>
      </c>
      <c r="C63" s="23" t="s">
        <v>1</v>
      </c>
      <c r="D63">
        <v>0.98330818434800005</v>
      </c>
    </row>
    <row r="64" spans="1:4" x14ac:dyDescent="0.25">
      <c r="A64" s="23" t="s">
        <v>12</v>
      </c>
      <c r="B64">
        <v>2020</v>
      </c>
      <c r="C64" s="23" t="s">
        <v>2</v>
      </c>
      <c r="D64">
        <v>0</v>
      </c>
    </row>
    <row r="65" spans="1:4" x14ac:dyDescent="0.25">
      <c r="A65" s="23" t="s">
        <v>12</v>
      </c>
      <c r="B65">
        <v>2020</v>
      </c>
      <c r="C65" s="23" t="s">
        <v>3</v>
      </c>
      <c r="D65">
        <v>0.7179695522492</v>
      </c>
    </row>
    <row r="66" spans="1:4" x14ac:dyDescent="0.25">
      <c r="A66" s="23" t="s">
        <v>12</v>
      </c>
      <c r="B66">
        <v>2020</v>
      </c>
      <c r="C66" s="23" t="s">
        <v>44</v>
      </c>
      <c r="D66">
        <v>5.1329123942479997</v>
      </c>
    </row>
    <row r="67" spans="1:4" x14ac:dyDescent="0.25">
      <c r="A67" s="23" t="s">
        <v>4</v>
      </c>
      <c r="B67">
        <v>2020</v>
      </c>
      <c r="C67" s="23" t="s">
        <v>0</v>
      </c>
      <c r="D67">
        <v>250.46095702759999</v>
      </c>
    </row>
    <row r="68" spans="1:4" x14ac:dyDescent="0.25">
      <c r="A68" s="23" t="s">
        <v>4</v>
      </c>
      <c r="B68">
        <v>2020</v>
      </c>
      <c r="C68" s="23" t="s">
        <v>1</v>
      </c>
      <c r="D68">
        <v>363.85350654690001</v>
      </c>
    </row>
    <row r="69" spans="1:4" x14ac:dyDescent="0.25">
      <c r="A69" s="23" t="s">
        <v>4</v>
      </c>
      <c r="B69">
        <v>2020</v>
      </c>
      <c r="C69" s="23" t="s">
        <v>2</v>
      </c>
      <c r="D69">
        <v>17.197377493219999</v>
      </c>
    </row>
    <row r="70" spans="1:4" x14ac:dyDescent="0.25">
      <c r="A70" s="23" t="s">
        <v>4</v>
      </c>
      <c r="B70">
        <v>2020</v>
      </c>
      <c r="C70" s="23" t="s">
        <v>3</v>
      </c>
      <c r="D70">
        <v>106.13861702929999</v>
      </c>
    </row>
    <row r="71" spans="1:4" x14ac:dyDescent="0.25">
      <c r="A71" s="23" t="s">
        <v>4</v>
      </c>
      <c r="B71">
        <v>2020</v>
      </c>
      <c r="C71" s="23" t="s">
        <v>44</v>
      </c>
      <c r="D71">
        <v>737.65045809699996</v>
      </c>
    </row>
    <row r="72" spans="1:4" x14ac:dyDescent="0.25">
      <c r="A72" s="23" t="s">
        <v>5</v>
      </c>
      <c r="B72">
        <v>2020</v>
      </c>
      <c r="C72" s="23" t="s">
        <v>0</v>
      </c>
      <c r="D72">
        <v>236</v>
      </c>
    </row>
    <row r="73" spans="1:4" x14ac:dyDescent="0.25">
      <c r="A73" s="23" t="s">
        <v>5</v>
      </c>
      <c r="B73">
        <v>2020</v>
      </c>
      <c r="C73" s="23" t="s">
        <v>1</v>
      </c>
      <c r="D73">
        <v>355</v>
      </c>
    </row>
    <row r="74" spans="1:4" x14ac:dyDescent="0.25">
      <c r="A74" s="23" t="s">
        <v>5</v>
      </c>
      <c r="B74">
        <v>2020</v>
      </c>
      <c r="C74" s="23" t="s">
        <v>2</v>
      </c>
      <c r="D74">
        <v>37</v>
      </c>
    </row>
    <row r="75" spans="1:4" x14ac:dyDescent="0.25">
      <c r="A75" s="23" t="s">
        <v>5</v>
      </c>
      <c r="B75">
        <v>2020</v>
      </c>
      <c r="C75" s="23" t="s">
        <v>3</v>
      </c>
      <c r="D75">
        <v>125</v>
      </c>
    </row>
    <row r="76" spans="1:4" x14ac:dyDescent="0.25">
      <c r="A76" s="23" t="s">
        <v>5</v>
      </c>
      <c r="B76">
        <v>2020</v>
      </c>
      <c r="C76" s="23" t="s">
        <v>44</v>
      </c>
      <c r="D76">
        <v>753</v>
      </c>
    </row>
    <row r="77" spans="1:4" x14ac:dyDescent="0.25">
      <c r="A77" s="23" t="s">
        <v>10</v>
      </c>
      <c r="B77">
        <v>2019</v>
      </c>
      <c r="C77" s="23" t="s">
        <v>0</v>
      </c>
      <c r="D77">
        <v>19.04374709983</v>
      </c>
    </row>
    <row r="78" spans="1:4" x14ac:dyDescent="0.25">
      <c r="A78" s="23" t="s">
        <v>10</v>
      </c>
      <c r="B78">
        <v>2019</v>
      </c>
      <c r="C78" s="23" t="s">
        <v>1</v>
      </c>
      <c r="D78">
        <v>37.139586828730003</v>
      </c>
    </row>
    <row r="79" spans="1:4" x14ac:dyDescent="0.25">
      <c r="A79" s="23" t="s">
        <v>10</v>
      </c>
      <c r="B79">
        <v>2019</v>
      </c>
      <c r="C79" s="23" t="s">
        <v>2</v>
      </c>
      <c r="D79">
        <v>0.4642257758253</v>
      </c>
    </row>
    <row r="80" spans="1:4" x14ac:dyDescent="0.25">
      <c r="A80" s="23" t="s">
        <v>10</v>
      </c>
      <c r="B80">
        <v>2019</v>
      </c>
      <c r="C80" s="23" t="s">
        <v>3</v>
      </c>
      <c r="D80">
        <v>6.0528130578099999</v>
      </c>
    </row>
    <row r="81" spans="1:4" x14ac:dyDescent="0.25">
      <c r="A81" s="23" t="s">
        <v>10</v>
      </c>
      <c r="B81">
        <v>2019</v>
      </c>
      <c r="C81" s="23" t="s">
        <v>44</v>
      </c>
      <c r="D81">
        <v>62.700372762199997</v>
      </c>
    </row>
    <row r="82" spans="1:4" x14ac:dyDescent="0.25">
      <c r="A82" s="23" t="s">
        <v>11</v>
      </c>
      <c r="B82">
        <v>2019</v>
      </c>
      <c r="C82" s="23" t="s">
        <v>0</v>
      </c>
      <c r="D82">
        <v>243.02379721189999</v>
      </c>
    </row>
    <row r="83" spans="1:4" x14ac:dyDescent="0.25">
      <c r="A83" s="23" t="s">
        <v>11</v>
      </c>
      <c r="B83">
        <v>2019</v>
      </c>
      <c r="C83" s="23" t="s">
        <v>1</v>
      </c>
      <c r="D83">
        <v>313.04443547879998</v>
      </c>
    </row>
    <row r="84" spans="1:4" x14ac:dyDescent="0.25">
      <c r="A84" s="23" t="s">
        <v>11</v>
      </c>
      <c r="B84">
        <v>2019</v>
      </c>
      <c r="C84" s="23" t="s">
        <v>2</v>
      </c>
      <c r="D84">
        <v>18.129337843510001</v>
      </c>
    </row>
    <row r="85" spans="1:4" x14ac:dyDescent="0.25">
      <c r="A85" s="23" t="s">
        <v>11</v>
      </c>
      <c r="B85">
        <v>2019</v>
      </c>
      <c r="C85" s="23" t="s">
        <v>3</v>
      </c>
      <c r="D85">
        <v>85.644506398100006</v>
      </c>
    </row>
    <row r="86" spans="1:4" x14ac:dyDescent="0.25">
      <c r="A86" s="23" t="s">
        <v>11</v>
      </c>
      <c r="B86">
        <v>2019</v>
      </c>
      <c r="C86" s="23" t="s">
        <v>44</v>
      </c>
      <c r="D86">
        <v>659.84207693229996</v>
      </c>
    </row>
    <row r="87" spans="1:4" x14ac:dyDescent="0.25">
      <c r="A87" s="23" t="s">
        <v>12</v>
      </c>
      <c r="B87">
        <v>2019</v>
      </c>
      <c r="C87" s="23" t="s">
        <v>0</v>
      </c>
      <c r="D87">
        <v>0</v>
      </c>
    </row>
    <row r="88" spans="1:4" x14ac:dyDescent="0.25">
      <c r="A88" s="23" t="s">
        <v>12</v>
      </c>
      <c r="B88">
        <v>2019</v>
      </c>
      <c r="C88" s="23" t="s">
        <v>1</v>
      </c>
      <c r="D88">
        <v>1.1443532303270001</v>
      </c>
    </row>
    <row r="89" spans="1:4" x14ac:dyDescent="0.25">
      <c r="A89" s="23" t="s">
        <v>12</v>
      </c>
      <c r="B89">
        <v>2019</v>
      </c>
      <c r="C89" s="23" t="s">
        <v>2</v>
      </c>
      <c r="D89">
        <v>0</v>
      </c>
    </row>
    <row r="90" spans="1:4" x14ac:dyDescent="0.25">
      <c r="A90" s="23" t="s">
        <v>12</v>
      </c>
      <c r="B90">
        <v>2019</v>
      </c>
      <c r="C90" s="23" t="s">
        <v>3</v>
      </c>
      <c r="D90">
        <v>0</v>
      </c>
    </row>
    <row r="91" spans="1:4" x14ac:dyDescent="0.25">
      <c r="A91" s="23" t="s">
        <v>12</v>
      </c>
      <c r="B91">
        <v>2019</v>
      </c>
      <c r="C91" s="23" t="s">
        <v>44</v>
      </c>
      <c r="D91">
        <v>1.1443532303270001</v>
      </c>
    </row>
    <row r="92" spans="1:4" x14ac:dyDescent="0.25">
      <c r="A92" s="23" t="s">
        <v>4</v>
      </c>
      <c r="B92">
        <v>2019</v>
      </c>
      <c r="C92" s="23" t="s">
        <v>0</v>
      </c>
      <c r="D92">
        <v>262.06754431180002</v>
      </c>
    </row>
    <row r="93" spans="1:4" x14ac:dyDescent="0.25">
      <c r="A93" s="23" t="s">
        <v>4</v>
      </c>
      <c r="B93">
        <v>2019</v>
      </c>
      <c r="C93" s="23" t="s">
        <v>1</v>
      </c>
      <c r="D93">
        <v>351.3283755379</v>
      </c>
    </row>
    <row r="94" spans="1:4" x14ac:dyDescent="0.25">
      <c r="A94" s="23" t="s">
        <v>4</v>
      </c>
      <c r="B94">
        <v>2019</v>
      </c>
      <c r="C94" s="23" t="s">
        <v>2</v>
      </c>
      <c r="D94">
        <v>18.593563619329998</v>
      </c>
    </row>
    <row r="95" spans="1:4" x14ac:dyDescent="0.25">
      <c r="A95" s="23" t="s">
        <v>4</v>
      </c>
      <c r="B95">
        <v>2019</v>
      </c>
      <c r="C95" s="23" t="s">
        <v>3</v>
      </c>
      <c r="D95">
        <v>91.697319455910005</v>
      </c>
    </row>
    <row r="96" spans="1:4" x14ac:dyDescent="0.25">
      <c r="A96" s="23" t="s">
        <v>4</v>
      </c>
      <c r="B96">
        <v>2019</v>
      </c>
      <c r="C96" s="23" t="s">
        <v>44</v>
      </c>
      <c r="D96">
        <v>723.68680292490001</v>
      </c>
    </row>
    <row r="97" spans="1:4" x14ac:dyDescent="0.25">
      <c r="A97" s="23" t="s">
        <v>5</v>
      </c>
      <c r="B97">
        <v>2019</v>
      </c>
      <c r="C97" s="23" t="s">
        <v>0</v>
      </c>
      <c r="D97">
        <v>239</v>
      </c>
    </row>
    <row r="98" spans="1:4" x14ac:dyDescent="0.25">
      <c r="A98" s="23" t="s">
        <v>5</v>
      </c>
      <c r="B98">
        <v>2019</v>
      </c>
      <c r="C98" s="23" t="s">
        <v>1</v>
      </c>
      <c r="D98">
        <v>319</v>
      </c>
    </row>
    <row r="99" spans="1:4" x14ac:dyDescent="0.25">
      <c r="A99" s="23" t="s">
        <v>5</v>
      </c>
      <c r="B99">
        <v>2019</v>
      </c>
      <c r="C99" s="23" t="s">
        <v>2</v>
      </c>
      <c r="D99">
        <v>68</v>
      </c>
    </row>
    <row r="100" spans="1:4" x14ac:dyDescent="0.25">
      <c r="A100" s="23" t="s">
        <v>5</v>
      </c>
      <c r="B100">
        <v>2019</v>
      </c>
      <c r="C100" s="23" t="s">
        <v>3</v>
      </c>
      <c r="D100">
        <v>147</v>
      </c>
    </row>
    <row r="101" spans="1:4" x14ac:dyDescent="0.25">
      <c r="A101" s="23" t="s">
        <v>5</v>
      </c>
      <c r="B101">
        <v>2019</v>
      </c>
      <c r="C101" s="23" t="s">
        <v>44</v>
      </c>
      <c r="D101">
        <v>773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E06E9-35EF-44AF-9CCD-29D74460A825}">
  <dimension ref="A1:G21"/>
  <sheetViews>
    <sheetView workbookViewId="0">
      <selection sqref="A1:G21"/>
    </sheetView>
  </sheetViews>
  <sheetFormatPr baseColWidth="10" defaultRowHeight="15" x14ac:dyDescent="0.25"/>
  <cols>
    <col min="1" max="1" width="16.42578125" customWidth="1"/>
    <col min="2" max="2" width="12.140625" customWidth="1"/>
  </cols>
  <sheetData>
    <row r="1" spans="1:7" x14ac:dyDescent="0.25">
      <c r="A1" t="s">
        <v>49</v>
      </c>
      <c r="B1" t="s">
        <v>0</v>
      </c>
      <c r="C1" t="s">
        <v>1</v>
      </c>
      <c r="D1" t="s">
        <v>2</v>
      </c>
      <c r="E1" t="s">
        <v>3</v>
      </c>
      <c r="F1" t="s">
        <v>44</v>
      </c>
      <c r="G1" t="s">
        <v>48</v>
      </c>
    </row>
    <row r="2" spans="1:7" x14ac:dyDescent="0.25">
      <c r="A2" t="s">
        <v>10</v>
      </c>
      <c r="B2">
        <v>27.789317440840001</v>
      </c>
      <c r="C2">
        <v>70.797048262619995</v>
      </c>
      <c r="D2">
        <v>4.2752947363020004</v>
      </c>
      <c r="E2">
        <v>3.9032298612130001</v>
      </c>
      <c r="F2">
        <v>106.76489030099999</v>
      </c>
      <c r="G2">
        <v>2024</v>
      </c>
    </row>
    <row r="3" spans="1:7" x14ac:dyDescent="0.25">
      <c r="A3" t="s">
        <v>11</v>
      </c>
      <c r="B3">
        <v>231.66378639609999</v>
      </c>
      <c r="C3">
        <v>319.70908455080001</v>
      </c>
      <c r="D3">
        <v>14.061030283079999</v>
      </c>
      <c r="E3">
        <v>78.600062332679997</v>
      </c>
      <c r="F3">
        <v>644.03396356259998</v>
      </c>
      <c r="G3">
        <v>2024</v>
      </c>
    </row>
    <row r="4" spans="1:7" x14ac:dyDescent="0.25">
      <c r="A4" t="s">
        <v>12</v>
      </c>
      <c r="B4">
        <v>0</v>
      </c>
      <c r="C4">
        <v>0.84319230938919998</v>
      </c>
      <c r="D4">
        <v>0</v>
      </c>
      <c r="E4">
        <v>0</v>
      </c>
      <c r="F4">
        <v>0.84319230938919998</v>
      </c>
      <c r="G4">
        <v>2024</v>
      </c>
    </row>
    <row r="5" spans="1:7" x14ac:dyDescent="0.25">
      <c r="A5" t="s">
        <v>4</v>
      </c>
      <c r="B5">
        <v>259.45310383690003</v>
      </c>
      <c r="C5">
        <v>391.3493251228</v>
      </c>
      <c r="D5">
        <v>18.336325019379998</v>
      </c>
      <c r="E5">
        <v>82.503292193890005</v>
      </c>
      <c r="F5">
        <v>751.64204617300004</v>
      </c>
      <c r="G5">
        <v>2024</v>
      </c>
    </row>
    <row r="6" spans="1:7" x14ac:dyDescent="0.25">
      <c r="A6" t="s">
        <v>5</v>
      </c>
      <c r="B6">
        <v>268</v>
      </c>
      <c r="C6">
        <v>354</v>
      </c>
      <c r="D6">
        <v>14</v>
      </c>
      <c r="E6">
        <v>79</v>
      </c>
      <c r="F6">
        <v>715</v>
      </c>
      <c r="G6">
        <v>2024</v>
      </c>
    </row>
    <row r="7" spans="1:7" x14ac:dyDescent="0.25">
      <c r="A7" t="s">
        <v>10</v>
      </c>
      <c r="B7">
        <v>21.958409068009999</v>
      </c>
      <c r="C7">
        <v>57.653198093029999</v>
      </c>
      <c r="D7">
        <v>0.61311083206880002</v>
      </c>
      <c r="E7">
        <v>8.8520140455360004</v>
      </c>
      <c r="F7">
        <v>89.076732038649993</v>
      </c>
      <c r="G7">
        <v>2023</v>
      </c>
    </row>
    <row r="8" spans="1:7" x14ac:dyDescent="0.25">
      <c r="A8" t="s">
        <v>11</v>
      </c>
      <c r="B8">
        <v>237.11389019629999</v>
      </c>
      <c r="C8">
        <v>274.28849936289998</v>
      </c>
      <c r="D8">
        <v>11.2286621068</v>
      </c>
      <c r="E8">
        <v>74.724310217880003</v>
      </c>
      <c r="F8">
        <v>597.35536188380001</v>
      </c>
      <c r="G8">
        <v>2023</v>
      </c>
    </row>
    <row r="9" spans="1:7" x14ac:dyDescent="0.25">
      <c r="A9" t="s">
        <v>12</v>
      </c>
      <c r="B9">
        <v>1.915417242255</v>
      </c>
      <c r="C9">
        <v>0.42583884323170001</v>
      </c>
      <c r="D9">
        <v>2.170524073088</v>
      </c>
      <c r="E9">
        <v>0</v>
      </c>
      <c r="F9">
        <v>4.5117801585750001</v>
      </c>
      <c r="G9">
        <v>2023</v>
      </c>
    </row>
    <row r="10" spans="1:7" x14ac:dyDescent="0.25">
      <c r="A10" t="s">
        <v>4</v>
      </c>
      <c r="B10">
        <v>260.98771650660001</v>
      </c>
      <c r="C10">
        <v>332.36753629909998</v>
      </c>
      <c r="D10">
        <v>14.012297011959999</v>
      </c>
      <c r="E10">
        <v>83.576324263410001</v>
      </c>
      <c r="F10">
        <v>690.94387408110003</v>
      </c>
      <c r="G10">
        <v>2023</v>
      </c>
    </row>
    <row r="11" spans="1:7" x14ac:dyDescent="0.25">
      <c r="A11" t="s">
        <v>5</v>
      </c>
      <c r="B11">
        <v>241</v>
      </c>
      <c r="C11">
        <v>281</v>
      </c>
      <c r="D11">
        <v>12</v>
      </c>
      <c r="E11">
        <v>68</v>
      </c>
      <c r="F11">
        <v>602</v>
      </c>
      <c r="G11">
        <v>2023</v>
      </c>
    </row>
    <row r="12" spans="1:7" x14ac:dyDescent="0.25">
      <c r="A12" t="s">
        <v>10</v>
      </c>
      <c r="B12">
        <v>27.05841521975</v>
      </c>
      <c r="C12">
        <v>64.090494935069998</v>
      </c>
      <c r="D12">
        <v>2.7247296523369999</v>
      </c>
      <c r="E12">
        <v>10.00517539272</v>
      </c>
      <c r="F12">
        <v>103.8788151999</v>
      </c>
      <c r="G12">
        <v>2020</v>
      </c>
    </row>
    <row r="13" spans="1:7" x14ac:dyDescent="0.25">
      <c r="A13" t="s">
        <v>11</v>
      </c>
      <c r="B13">
        <v>219.97090715019999</v>
      </c>
      <c r="C13">
        <v>298.77970342750001</v>
      </c>
      <c r="D13">
        <v>14.472647840880001</v>
      </c>
      <c r="E13">
        <v>95.415472084290002</v>
      </c>
      <c r="F13">
        <v>628.63873050279994</v>
      </c>
      <c r="G13">
        <v>2020</v>
      </c>
    </row>
    <row r="14" spans="1:7" x14ac:dyDescent="0.25">
      <c r="A14" t="s">
        <v>12</v>
      </c>
      <c r="B14">
        <v>3.4316346576510002</v>
      </c>
      <c r="C14">
        <v>0.98330818434800005</v>
      </c>
      <c r="D14">
        <v>0</v>
      </c>
      <c r="E14">
        <v>0.7179695522492</v>
      </c>
      <c r="F14">
        <v>5.1329123942479997</v>
      </c>
      <c r="G14">
        <v>2020</v>
      </c>
    </row>
    <row r="15" spans="1:7" x14ac:dyDescent="0.25">
      <c r="A15" t="s">
        <v>4</v>
      </c>
      <c r="B15">
        <v>250.46095702759999</v>
      </c>
      <c r="C15">
        <v>363.85350654690001</v>
      </c>
      <c r="D15">
        <v>17.197377493219999</v>
      </c>
      <c r="E15">
        <v>106.13861702929999</v>
      </c>
      <c r="F15">
        <v>737.65045809699996</v>
      </c>
      <c r="G15">
        <v>2020</v>
      </c>
    </row>
    <row r="16" spans="1:7" x14ac:dyDescent="0.25">
      <c r="A16" t="s">
        <v>5</v>
      </c>
      <c r="B16">
        <v>236</v>
      </c>
      <c r="C16">
        <v>355</v>
      </c>
      <c r="D16">
        <v>37</v>
      </c>
      <c r="E16">
        <v>125</v>
      </c>
      <c r="F16">
        <v>753</v>
      </c>
      <c r="G16">
        <v>2020</v>
      </c>
    </row>
    <row r="17" spans="1:7" x14ac:dyDescent="0.25">
      <c r="A17" t="s">
        <v>10</v>
      </c>
      <c r="B17">
        <v>19.04374709983</v>
      </c>
      <c r="C17">
        <v>37.139586828730003</v>
      </c>
      <c r="D17">
        <v>0.4642257758253</v>
      </c>
      <c r="E17">
        <v>6.0528130578099999</v>
      </c>
      <c r="F17">
        <v>62.700372762199997</v>
      </c>
      <c r="G17">
        <v>2019</v>
      </c>
    </row>
    <row r="18" spans="1:7" x14ac:dyDescent="0.25">
      <c r="A18" t="s">
        <v>11</v>
      </c>
      <c r="B18">
        <v>243.02379721189999</v>
      </c>
      <c r="C18">
        <v>313.04443547879998</v>
      </c>
      <c r="D18">
        <v>18.129337843510001</v>
      </c>
      <c r="E18">
        <v>85.644506398100006</v>
      </c>
      <c r="F18">
        <v>659.84207693229996</v>
      </c>
      <c r="G18">
        <v>2019</v>
      </c>
    </row>
    <row r="19" spans="1:7" x14ac:dyDescent="0.25">
      <c r="A19" t="s">
        <v>12</v>
      </c>
      <c r="B19">
        <v>0</v>
      </c>
      <c r="C19">
        <v>1.1443532303270001</v>
      </c>
      <c r="D19">
        <v>0</v>
      </c>
      <c r="E19">
        <v>0</v>
      </c>
      <c r="F19">
        <v>1.1443532303270001</v>
      </c>
      <c r="G19">
        <v>2019</v>
      </c>
    </row>
    <row r="20" spans="1:7" x14ac:dyDescent="0.25">
      <c r="A20" t="s">
        <v>4</v>
      </c>
      <c r="B20">
        <v>262.06754431180002</v>
      </c>
      <c r="C20">
        <v>351.3283755379</v>
      </c>
      <c r="D20">
        <v>18.593563619329998</v>
      </c>
      <c r="E20">
        <v>91.697319455910005</v>
      </c>
      <c r="F20">
        <v>723.68680292490001</v>
      </c>
      <c r="G20">
        <v>2019</v>
      </c>
    </row>
    <row r="21" spans="1:7" x14ac:dyDescent="0.25">
      <c r="A21" t="s">
        <v>5</v>
      </c>
      <c r="B21">
        <v>239</v>
      </c>
      <c r="C21">
        <v>319</v>
      </c>
      <c r="D21">
        <v>68</v>
      </c>
      <c r="E21">
        <v>147</v>
      </c>
      <c r="F21">
        <v>773</v>
      </c>
      <c r="G21">
        <v>2019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F5591-F559-471C-B66D-6F66C0367EC3}">
  <dimension ref="A1:G23"/>
  <sheetViews>
    <sheetView workbookViewId="0">
      <selection activeCell="I49" sqref="I49"/>
    </sheetView>
  </sheetViews>
  <sheetFormatPr baseColWidth="10" defaultRowHeight="15" x14ac:dyDescent="0.25"/>
  <sheetData>
    <row r="1" spans="1:7" x14ac:dyDescent="0.25">
      <c r="A1" t="s">
        <v>35</v>
      </c>
    </row>
    <row r="2" spans="1:7" ht="15.75" thickBot="1" x14ac:dyDescent="0.3">
      <c r="A2" s="1" t="s">
        <v>16</v>
      </c>
      <c r="B2" s="1" t="s">
        <v>0</v>
      </c>
      <c r="C2" s="1" t="s">
        <v>1</v>
      </c>
      <c r="D2" s="1" t="s">
        <v>2</v>
      </c>
      <c r="E2" s="1" t="s">
        <v>3</v>
      </c>
      <c r="F2" s="8" t="s">
        <v>15</v>
      </c>
      <c r="G2" s="20" t="s">
        <v>48</v>
      </c>
    </row>
    <row r="3" spans="1:7" x14ac:dyDescent="0.25">
      <c r="A3" t="s">
        <v>30</v>
      </c>
      <c r="B3" s="3">
        <v>231.66378639609999</v>
      </c>
      <c r="C3" s="3">
        <v>319.70908455080001</v>
      </c>
      <c r="D3" s="3">
        <v>14.061030283079999</v>
      </c>
      <c r="E3" s="3">
        <v>78.600062332679997</v>
      </c>
      <c r="F3" s="3">
        <v>644.03396356259998</v>
      </c>
      <c r="G3" s="21">
        <v>2024</v>
      </c>
    </row>
    <row r="4" spans="1:7" x14ac:dyDescent="0.25">
      <c r="A4" t="s">
        <v>29</v>
      </c>
      <c r="B4" s="3">
        <v>368.98675079269998</v>
      </c>
      <c r="C4" s="3">
        <v>566.39588543150001</v>
      </c>
      <c r="D4" s="3">
        <v>25.22991264805</v>
      </c>
      <c r="E4" s="3">
        <v>115.60725280539999</v>
      </c>
      <c r="F4" s="3">
        <v>1076.2198016780001</v>
      </c>
      <c r="G4" s="21">
        <v>2024</v>
      </c>
    </row>
    <row r="5" spans="1:7" x14ac:dyDescent="0.25">
      <c r="A5" t="s">
        <v>28</v>
      </c>
      <c r="B5" s="3">
        <v>62.783768224299997</v>
      </c>
      <c r="C5" s="3">
        <v>56.446222999520003</v>
      </c>
      <c r="D5" s="3">
        <v>55.731585278259999</v>
      </c>
      <c r="E5" s="3">
        <v>67.988867848110004</v>
      </c>
      <c r="F5" s="3">
        <v>59.842233209109999</v>
      </c>
      <c r="G5" s="21">
        <v>2024</v>
      </c>
    </row>
    <row r="7" spans="1:7" x14ac:dyDescent="0.25">
      <c r="A7" t="s">
        <v>14</v>
      </c>
    </row>
    <row r="8" spans="1:7" ht="15.75" thickBot="1" x14ac:dyDescent="0.3">
      <c r="A8" s="8"/>
      <c r="B8" s="8" t="s">
        <v>0</v>
      </c>
      <c r="C8" s="8" t="s">
        <v>1</v>
      </c>
      <c r="D8" s="8" t="s">
        <v>2</v>
      </c>
      <c r="E8" s="8" t="s">
        <v>3</v>
      </c>
      <c r="F8" s="8" t="s">
        <v>15</v>
      </c>
      <c r="G8" s="20" t="s">
        <v>48</v>
      </c>
    </row>
    <row r="9" spans="1:7" x14ac:dyDescent="0.25">
      <c r="A9" s="6" t="s">
        <v>30</v>
      </c>
      <c r="B9" s="9">
        <v>237.11389019629999</v>
      </c>
      <c r="C9" s="9">
        <v>274.28849936289998</v>
      </c>
      <c r="D9" s="9">
        <v>11.2286621068</v>
      </c>
      <c r="E9" s="9">
        <v>74.724310217880003</v>
      </c>
      <c r="F9" s="9">
        <v>597.35536188380001</v>
      </c>
      <c r="G9" s="21">
        <v>2023</v>
      </c>
    </row>
    <row r="10" spans="1:7" x14ac:dyDescent="0.25">
      <c r="A10" s="7" t="s">
        <v>29</v>
      </c>
      <c r="B10" s="10">
        <v>329.89683229960002</v>
      </c>
      <c r="C10" s="10">
        <v>500.98454888039998</v>
      </c>
      <c r="D10" s="10">
        <v>25.087288247939998</v>
      </c>
      <c r="E10" s="10">
        <v>109.2511077134</v>
      </c>
      <c r="F10" s="10">
        <v>965.21977714130003</v>
      </c>
      <c r="G10" s="22">
        <v>2023</v>
      </c>
    </row>
    <row r="11" spans="1:7" x14ac:dyDescent="0.25">
      <c r="A11" s="6" t="s">
        <v>28</v>
      </c>
      <c r="B11" s="9">
        <v>71.875164288020002</v>
      </c>
      <c r="C11" s="9">
        <v>54.749891982869997</v>
      </c>
      <c r="D11" s="9">
        <v>44.758373228030003</v>
      </c>
      <c r="E11" s="9">
        <v>68.396844463950004</v>
      </c>
      <c r="F11" s="9">
        <v>61.888015147499999</v>
      </c>
      <c r="G11" s="21">
        <v>2023</v>
      </c>
    </row>
    <row r="13" spans="1:7" x14ac:dyDescent="0.25">
      <c r="A13" t="s">
        <v>33</v>
      </c>
    </row>
    <row r="14" spans="1:7" ht="15.75" thickBot="1" x14ac:dyDescent="0.3">
      <c r="A14" s="1" t="s">
        <v>16</v>
      </c>
      <c r="B14" s="1" t="s">
        <v>0</v>
      </c>
      <c r="C14" s="1" t="s">
        <v>1</v>
      </c>
      <c r="D14" s="1" t="s">
        <v>2</v>
      </c>
      <c r="E14" s="1" t="s">
        <v>3</v>
      </c>
      <c r="F14" s="8" t="s">
        <v>15</v>
      </c>
      <c r="G14" t="s">
        <v>48</v>
      </c>
    </row>
    <row r="15" spans="1:7" x14ac:dyDescent="0.25">
      <c r="A15" t="s">
        <v>30</v>
      </c>
      <c r="B15" s="3">
        <v>219.97090715019999</v>
      </c>
      <c r="C15" s="3">
        <v>298.77970342750001</v>
      </c>
      <c r="D15" s="3">
        <v>14.472647840880001</v>
      </c>
      <c r="E15" s="3">
        <v>95.415472084290002</v>
      </c>
      <c r="F15" s="3">
        <v>628.63873050279994</v>
      </c>
      <c r="G15">
        <v>2020</v>
      </c>
    </row>
    <row r="16" spans="1:7" x14ac:dyDescent="0.25">
      <c r="A16" t="s">
        <v>29</v>
      </c>
      <c r="B16" s="3">
        <v>371.66078866240002</v>
      </c>
      <c r="C16" s="3">
        <v>534.0861319508</v>
      </c>
      <c r="D16" s="3">
        <v>23.511373073310001</v>
      </c>
      <c r="E16" s="3">
        <v>137.5892214113</v>
      </c>
      <c r="F16" s="3">
        <v>1066.847515098</v>
      </c>
      <c r="G16">
        <v>2020</v>
      </c>
    </row>
    <row r="17" spans="1:7" x14ac:dyDescent="0.25">
      <c r="A17" t="s">
        <v>28</v>
      </c>
      <c r="B17" s="3">
        <v>59.185933480320003</v>
      </c>
      <c r="C17" s="3">
        <v>55.942232077100002</v>
      </c>
      <c r="D17" s="3">
        <v>61.555944843159999</v>
      </c>
      <c r="E17" s="3">
        <v>69.348071822470004</v>
      </c>
      <c r="F17" s="3">
        <v>58.924890540260002</v>
      </c>
      <c r="G17">
        <v>2020</v>
      </c>
    </row>
    <row r="19" spans="1:7" x14ac:dyDescent="0.25">
      <c r="A19" t="s">
        <v>31</v>
      </c>
    </row>
    <row r="20" spans="1:7" ht="15.75" thickBot="1" x14ac:dyDescent="0.3">
      <c r="A20" s="1" t="s">
        <v>16</v>
      </c>
      <c r="B20" s="1" t="s">
        <v>0</v>
      </c>
      <c r="C20" s="1" t="s">
        <v>1</v>
      </c>
      <c r="D20" s="1" t="s">
        <v>2</v>
      </c>
      <c r="E20" s="1" t="s">
        <v>3</v>
      </c>
      <c r="F20" s="8" t="s">
        <v>15</v>
      </c>
      <c r="G20" s="20" t="s">
        <v>48</v>
      </c>
    </row>
    <row r="21" spans="1:7" x14ac:dyDescent="0.25">
      <c r="A21" t="s">
        <v>30</v>
      </c>
      <c r="B21" s="3">
        <v>243.02379721189999</v>
      </c>
      <c r="C21" s="3">
        <v>313.04443547879998</v>
      </c>
      <c r="D21" s="3">
        <v>18.129337843510001</v>
      </c>
      <c r="E21" s="3">
        <v>85.644506398100006</v>
      </c>
      <c r="F21" s="3">
        <v>659.84207693229996</v>
      </c>
      <c r="G21" s="21">
        <v>2019</v>
      </c>
    </row>
    <row r="22" spans="1:7" x14ac:dyDescent="0.25">
      <c r="A22" t="s">
        <v>29</v>
      </c>
      <c r="B22" s="3">
        <v>336.6005852673</v>
      </c>
      <c r="C22" s="3">
        <v>511.25193957419998</v>
      </c>
      <c r="D22" s="3">
        <v>24.06468566977</v>
      </c>
      <c r="E22" s="3">
        <v>134.00954166279999</v>
      </c>
      <c r="F22" s="3">
        <v>1005.9267521739999</v>
      </c>
      <c r="G22" s="22">
        <v>2019</v>
      </c>
    </row>
    <row r="23" spans="1:7" x14ac:dyDescent="0.25">
      <c r="A23" t="s">
        <v>28</v>
      </c>
      <c r="B23" s="3">
        <v>72.199457710070007</v>
      </c>
      <c r="C23" s="3">
        <v>61.230953126469998</v>
      </c>
      <c r="D23" s="3">
        <v>75.335859741890005</v>
      </c>
      <c r="E23" s="3">
        <v>63.909259994030002</v>
      </c>
      <c r="F23" s="3">
        <v>65.595439777920006</v>
      </c>
      <c r="G23" s="21">
        <v>2019</v>
      </c>
    </row>
  </sheetData>
  <dataValidations count="3">
    <dataValidation allowBlank="1" showErrorMessage="1" prompt="0b94f649-5720-4241-8609-16f5c07a4dc7" sqref="A1 F5" xr:uid="{C7114861-7DEC-4E4B-B042-9ADC746AD56C}"/>
    <dataValidation allowBlank="1" showErrorMessage="1" prompt="f7303338-b4dc-41e4-acec-39242854ee72" sqref="A13 F17" xr:uid="{E0FE7571-0E0A-4EE3-BB88-138EA9988BE0}"/>
    <dataValidation allowBlank="1" showErrorMessage="1" prompt="3a2c1d5c-aac1-444b-acf2-05c79e6da651" sqref="A19 F23" xr:uid="{F2B62D89-4CE1-4DE4-999C-1725DF9FD293}"/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7EF8-863D-4DD3-9A0E-0520961A8C62}">
  <dimension ref="A1:G23"/>
  <sheetViews>
    <sheetView workbookViewId="0">
      <selection activeCell="L21" sqref="L21"/>
    </sheetView>
  </sheetViews>
  <sheetFormatPr baseColWidth="10" defaultRowHeight="15" x14ac:dyDescent="0.25"/>
  <sheetData>
    <row r="1" spans="1:7" x14ac:dyDescent="0.25">
      <c r="A1" t="s">
        <v>21</v>
      </c>
    </row>
    <row r="2" spans="1:7" ht="30.75" thickBot="1" x14ac:dyDescent="0.3">
      <c r="A2" s="1" t="s">
        <v>41</v>
      </c>
      <c r="B2" s="1" t="s">
        <v>0</v>
      </c>
      <c r="C2" s="1" t="s">
        <v>1</v>
      </c>
      <c r="D2" s="1" t="s">
        <v>2</v>
      </c>
      <c r="E2" s="1" t="s">
        <v>3</v>
      </c>
      <c r="F2" s="8" t="s">
        <v>15</v>
      </c>
      <c r="G2" s="20" t="s">
        <v>48</v>
      </c>
    </row>
    <row r="3" spans="1:7" x14ac:dyDescent="0.25">
      <c r="A3" t="s">
        <v>13</v>
      </c>
      <c r="B3" s="2">
        <v>368.98675079269998</v>
      </c>
      <c r="C3" s="2">
        <v>566.39588543150001</v>
      </c>
      <c r="D3" s="2">
        <v>25.22991264805</v>
      </c>
      <c r="E3" s="2">
        <v>115.60725280539999</v>
      </c>
      <c r="F3" s="2">
        <v>1076.2198016780001</v>
      </c>
      <c r="G3" s="21">
        <v>2024</v>
      </c>
    </row>
    <row r="4" spans="1:7" x14ac:dyDescent="0.25">
      <c r="A4" t="s">
        <v>4</v>
      </c>
      <c r="B4" s="2">
        <v>368.98675079269998</v>
      </c>
      <c r="C4" s="2">
        <v>566.39588543150001</v>
      </c>
      <c r="D4" s="2">
        <v>25.22991264805</v>
      </c>
      <c r="E4" s="2">
        <v>115.60725280539999</v>
      </c>
      <c r="F4" s="2">
        <v>1076.2198016780001</v>
      </c>
      <c r="G4" s="21">
        <v>2024</v>
      </c>
    </row>
    <row r="5" spans="1:7" x14ac:dyDescent="0.25">
      <c r="A5" t="s">
        <v>5</v>
      </c>
      <c r="B5" s="2">
        <v>370</v>
      </c>
      <c r="C5" s="2">
        <v>498</v>
      </c>
      <c r="D5" s="14">
        <v>21</v>
      </c>
      <c r="E5" s="2">
        <v>106</v>
      </c>
      <c r="F5" s="2">
        <v>995</v>
      </c>
      <c r="G5" s="21">
        <v>2024</v>
      </c>
    </row>
    <row r="7" spans="1:7" x14ac:dyDescent="0.25">
      <c r="A7" t="s">
        <v>25</v>
      </c>
    </row>
    <row r="8" spans="1:7" ht="30.75" thickBot="1" x14ac:dyDescent="0.3">
      <c r="A8" s="8" t="s">
        <v>41</v>
      </c>
      <c r="B8" s="8" t="s">
        <v>0</v>
      </c>
      <c r="C8" s="8" t="s">
        <v>1</v>
      </c>
      <c r="D8" s="8" t="s">
        <v>2</v>
      </c>
      <c r="E8" s="8" t="s">
        <v>3</v>
      </c>
      <c r="F8" s="8" t="s">
        <v>15</v>
      </c>
      <c r="G8" s="20" t="s">
        <v>48</v>
      </c>
    </row>
    <row r="9" spans="1:7" x14ac:dyDescent="0.25">
      <c r="A9" s="6" t="s">
        <v>13</v>
      </c>
      <c r="B9" s="9">
        <v>329.89683229960002</v>
      </c>
      <c r="C9" s="9">
        <v>500.98454888039998</v>
      </c>
      <c r="D9" s="9">
        <v>25.087288247939998</v>
      </c>
      <c r="E9" s="9">
        <v>109.2511077134</v>
      </c>
      <c r="F9" s="9">
        <v>965.21977714130003</v>
      </c>
      <c r="G9" s="21">
        <v>2023</v>
      </c>
    </row>
    <row r="10" spans="1:7" x14ac:dyDescent="0.25">
      <c r="A10" s="7" t="s">
        <v>4</v>
      </c>
      <c r="B10" s="10">
        <v>329.89683229960002</v>
      </c>
      <c r="C10" s="10">
        <v>500.98454888039998</v>
      </c>
      <c r="D10" s="10">
        <v>25.087288247939998</v>
      </c>
      <c r="E10" s="10">
        <v>109.2511077134</v>
      </c>
      <c r="F10" s="10">
        <v>965.21977714130003</v>
      </c>
      <c r="G10" s="22">
        <v>2023</v>
      </c>
    </row>
    <row r="11" spans="1:7" x14ac:dyDescent="0.25">
      <c r="A11" s="6" t="s">
        <v>5</v>
      </c>
      <c r="B11" s="9">
        <v>305</v>
      </c>
      <c r="C11" s="9">
        <v>418</v>
      </c>
      <c r="D11" s="15">
        <v>16</v>
      </c>
      <c r="E11" s="9">
        <v>89</v>
      </c>
      <c r="F11" s="9">
        <v>828</v>
      </c>
      <c r="G11" s="21">
        <v>2023</v>
      </c>
    </row>
    <row r="13" spans="1:7" x14ac:dyDescent="0.25">
      <c r="A13" t="s">
        <v>19</v>
      </c>
    </row>
    <row r="14" spans="1:7" ht="30.75" thickBot="1" x14ac:dyDescent="0.3">
      <c r="A14" s="1" t="s">
        <v>41</v>
      </c>
      <c r="B14" s="1" t="s">
        <v>0</v>
      </c>
      <c r="C14" s="1" t="s">
        <v>1</v>
      </c>
      <c r="D14" s="1" t="s">
        <v>2</v>
      </c>
      <c r="E14" s="1" t="s">
        <v>3</v>
      </c>
      <c r="F14" s="8" t="s">
        <v>15</v>
      </c>
      <c r="G14" t="s">
        <v>48</v>
      </c>
    </row>
    <row r="15" spans="1:7" x14ac:dyDescent="0.25">
      <c r="A15" t="s">
        <v>13</v>
      </c>
      <c r="B15" s="2">
        <v>371.66078866240002</v>
      </c>
      <c r="C15" s="2">
        <v>534.0861319508</v>
      </c>
      <c r="D15" s="2">
        <v>23.511373073310001</v>
      </c>
      <c r="E15" s="2">
        <v>137.5892214113</v>
      </c>
      <c r="F15" s="2">
        <v>1066.847515098</v>
      </c>
      <c r="G15">
        <v>2020</v>
      </c>
    </row>
    <row r="16" spans="1:7" x14ac:dyDescent="0.25">
      <c r="A16" t="s">
        <v>4</v>
      </c>
      <c r="B16" s="2">
        <v>371.66078866240002</v>
      </c>
      <c r="C16" s="2">
        <v>534.0861319508</v>
      </c>
      <c r="D16" s="2">
        <v>23.511373073310001</v>
      </c>
      <c r="E16" s="2">
        <v>137.5892214113</v>
      </c>
      <c r="F16" s="2">
        <v>1066.847515098</v>
      </c>
      <c r="G16">
        <v>2020</v>
      </c>
    </row>
    <row r="17" spans="1:7" x14ac:dyDescent="0.25">
      <c r="A17" t="s">
        <v>5</v>
      </c>
      <c r="B17" s="2">
        <v>351</v>
      </c>
      <c r="C17" s="2">
        <v>522</v>
      </c>
      <c r="D17" s="2">
        <v>51</v>
      </c>
      <c r="E17" s="2">
        <v>163</v>
      </c>
      <c r="F17" s="2">
        <v>1087</v>
      </c>
      <c r="G17">
        <v>2020</v>
      </c>
    </row>
    <row r="19" spans="1:7" x14ac:dyDescent="0.25">
      <c r="A19" t="s">
        <v>17</v>
      </c>
    </row>
    <row r="20" spans="1:7" ht="15.75" thickBot="1" x14ac:dyDescent="0.3">
      <c r="A20" s="1" t="s">
        <v>6</v>
      </c>
      <c r="B20" s="1" t="s">
        <v>0</v>
      </c>
      <c r="C20" s="1" t="s">
        <v>1</v>
      </c>
      <c r="D20" s="1" t="s">
        <v>2</v>
      </c>
      <c r="E20" s="1" t="s">
        <v>3</v>
      </c>
      <c r="F20" s="8" t="s">
        <v>15</v>
      </c>
      <c r="G20" t="s">
        <v>48</v>
      </c>
    </row>
    <row r="21" spans="1:7" x14ac:dyDescent="0.25">
      <c r="A21" t="s">
        <v>13</v>
      </c>
      <c r="B21" s="2">
        <v>336.6005852673</v>
      </c>
      <c r="C21" s="2">
        <v>511.25193957419998</v>
      </c>
      <c r="D21" s="2">
        <v>24.06468566977</v>
      </c>
      <c r="E21" s="2">
        <v>134.00954166279999</v>
      </c>
      <c r="F21" s="2">
        <v>1005.9267521739999</v>
      </c>
      <c r="G21">
        <v>2019</v>
      </c>
    </row>
    <row r="22" spans="1:7" x14ac:dyDescent="0.25">
      <c r="A22" t="s">
        <v>4</v>
      </c>
      <c r="B22" s="2">
        <v>336.6005852673</v>
      </c>
      <c r="C22" s="2">
        <v>511.25193957419998</v>
      </c>
      <c r="D22" s="2">
        <v>24.06468566977</v>
      </c>
      <c r="E22" s="2">
        <v>134.00954166279999</v>
      </c>
      <c r="F22" s="2">
        <v>1005.9267521739999</v>
      </c>
      <c r="G22">
        <v>2019</v>
      </c>
    </row>
    <row r="23" spans="1:7" x14ac:dyDescent="0.25">
      <c r="A23" t="s">
        <v>5</v>
      </c>
      <c r="B23" s="2">
        <v>306</v>
      </c>
      <c r="C23" s="2">
        <v>461</v>
      </c>
      <c r="D23" s="2">
        <v>89</v>
      </c>
      <c r="E23" s="2">
        <v>214</v>
      </c>
      <c r="F23" s="2">
        <v>1070</v>
      </c>
      <c r="G23">
        <v>2019</v>
      </c>
    </row>
  </sheetData>
  <dataValidations count="4">
    <dataValidation allowBlank="1" showErrorMessage="1" prompt="15ede814-187c-477f-baa4-4098a1948a1e" sqref="A1" xr:uid="{EA3626DD-47A9-445C-BB28-260367A19C72}"/>
    <dataValidation allowBlank="1" showErrorMessage="1" prompt="09533386-4ce0-4c31-b52f-6bd61eb5856e" sqref="A7" xr:uid="{A78F19F2-2201-40B0-8C14-AB430D9C2968}"/>
    <dataValidation allowBlank="1" showErrorMessage="1" prompt="964beff6-db3f-40de-8d77-69ed1d6c2768" sqref="A13" xr:uid="{9B4AD9BA-F4C4-4D8F-8C9B-FC6B787CDCAC}"/>
    <dataValidation allowBlank="1" showErrorMessage="1" prompt="e765c7b3-e896-4091-a053-42d3672669b9" sqref="A19" xr:uid="{94952976-F3C0-421F-B894-84584AB74BB6}"/>
  </dataValidations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9826056341EE1469B8684422E038A0C" ma:contentTypeVersion="19" ma:contentTypeDescription="Opprett et nytt dokument." ma:contentTypeScope="" ma:versionID="26a0772e1fc4ff01c90233ed568204f6">
  <xsd:schema xmlns:xsd="http://www.w3.org/2001/XMLSchema" xmlns:xs="http://www.w3.org/2001/XMLSchema" xmlns:p="http://schemas.microsoft.com/office/2006/metadata/properties" xmlns:ns2="c01000c6-89ed-43e6-87eb-28373d6c29c0" xmlns:ns3="bdaa56ff-e4fa-4bdb-8477-5cb73ae3d147" targetNamespace="http://schemas.microsoft.com/office/2006/metadata/properties" ma:root="true" ma:fieldsID="fe9f1cf0ce19141430a1271953c6f0f6" ns2:_="" ns3:_="">
    <xsd:import namespace="c01000c6-89ed-43e6-87eb-28373d6c29c0"/>
    <xsd:import namespace="bdaa56ff-e4fa-4bdb-8477-5cb73ae3d1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SearchProperties" minOccurs="0"/>
                <xsd:element ref="ns2:MediaServiceObjectDetectorVersions" minOccurs="0"/>
                <xsd:element ref="ns2:Forh_x00e5_ndsvisning" minOccurs="0"/>
                <xsd:element ref="ns2:Filtyp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1000c6-89ed-43e6-87eb-28373d6c29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emerkelapper" ma:readOnly="false" ma:fieldId="{5cf76f15-5ced-4ddc-b409-7134ff3c332f}" ma:taxonomyMulti="true" ma:sspId="8f723485-c56b-4a09-bb9d-56abd55096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Godkjenningsstatus" ma:internalName="Godkjenningsstatus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Forh_x00e5_ndsvisning" ma:index="24" nillable="true" ma:displayName="Forhåndsvisning" ma:format="Thumbnail" ma:internalName="Forh_x00e5_ndsvisning">
      <xsd:simpleType>
        <xsd:restriction base="dms:Unknown"/>
      </xsd:simpleType>
    </xsd:element>
    <xsd:element name="Filtype" ma:index="25" nillable="true" ma:displayName="Filtype" ma:format="Thumbnail" ma:internalName="Filtype">
      <xsd:simpleType>
        <xsd:restriction base="dms:Unknown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aa56ff-e4fa-4bdb-8477-5cb73ae3d14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47321c7-e984-439c-8c0d-566f6d35c443}" ma:internalName="TaxCatchAll" ma:showField="CatchAllData" ma:web="bdaa56ff-e4fa-4bdb-8477-5cb73ae3d1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ArrayOfPairOfGuidQQauh xmlns:xsd="http://www.w3.org/2001/XMLSchema" xmlns:xsi="http://www.w3.org/2001/XMLSchema-instance">
  <PairOfGuidQQauh>
    <First>b7332e26-5a89-4334-97fe-e7505d3442bc</First>
    <Second>
      <QQa>gratis_parkering_jobb (fulll base) by Hjemkommune</QQa>
      <QQb>b7332e26-5a89-4334-97fe-e7505d3442bc</QQb>
      <QQc>5</QQc>
      <QQd>5</QQd>
      <QQe xsi:nil="true"/>
    </Second>
  </PairOfGuidQQauh>
  <PairOfGuidQQauh>
    <First>36a98e32-0f2f-47d4-b8d8-c474b273bb0f</First>
    <Second>
      <QQa>gratis_parkering_jobb (fulll base) by Hjemkommune</QQa>
      <QQb>36a98e32-0f2f-47d4-b8d8-c474b273bb0f</QQb>
      <QQc>5</QQc>
      <QQd>5</QQd>
      <QQe xsi:nil="true"/>
    </Second>
  </PairOfGuidQQauh>
  <PairOfGuidQQauh>
    <First>e66cf466-b3b1-4444-927b-1e6669dc2ea3</First>
    <Second>
      <QQa>gratis_parkering_jobb (fulll base) by Hjemkommune</QQa>
      <QQb>e66cf466-b3b1-4444-927b-1e6669dc2ea3</QQb>
      <QQc>5</QQc>
      <QQd>5</QQd>
      <QQe xsi:nil="true"/>
    </Second>
  </PairOfGuidQQauh>
  <PairOfGuidQQauh>
    <First>6fe51bfe-40e8-4f8d-a31f-effa959bc47f</First>
    <Second>
      <QQa>Må du betale for å parkere der by År (dato)</QQa>
      <QQb>6fe51bfe-40e8-4f8d-a31f-effa959bc47f</QQb>
      <QQc>3</QQc>
      <QQd>7</QQd>
      <QQe xsi:nil="true"/>
    </Second>
  </PairOfGuidQQauh>
  <PairOfGuidQQauh>
    <First>dc017357-fb0d-49b1-a25f-68829ca9098c</First>
    <Second>
      <QQa>Yrkessaktiv by År (dato)</QQa>
      <QQb>dc017357-fb0d-49b1-a25f-68829ca9098c</QQb>
      <QQc>3</QQc>
      <QQd>5</QQd>
      <QQe xsi:nil="true"/>
    </Second>
  </PairOfGuidQQauh>
  <PairOfGuidQQauh>
    <First>788f5c3e-52eb-4dd0-adf7-29bc3c49e748</First>
    <Second>
      <QQa>indikator_gratis_parkering</QQa>
      <QQb>788f5c3e-52eb-4dd0-adf7-29bc3c49e748</QQb>
      <QQc>3</QQc>
      <QQd>4</QQd>
      <QQe xsi:nil="true"/>
    </Second>
  </PairOfGuidQQauh>
</ArrayOfPairOfGuidQQauh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rh_x00e5_ndsvisning xmlns="c01000c6-89ed-43e6-87eb-28373d6c29c0" xsi:nil="true"/>
    <TaxCatchAll xmlns="bdaa56ff-e4fa-4bdb-8477-5cb73ae3d147" xsi:nil="true"/>
    <Filtype xmlns="c01000c6-89ed-43e6-87eb-28373d6c29c0" xsi:nil="true"/>
    <_Flow_SignoffStatus xmlns="c01000c6-89ed-43e6-87eb-28373d6c29c0" xsi:nil="true"/>
    <lcf76f155ced4ddcb4097134ff3c332f xmlns="c01000c6-89ed-43e6-87eb-28373d6c29c0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Props1.xml><?xml version="1.0" encoding="utf-8"?>
<ds:datastoreItem xmlns:ds="http://schemas.openxmlformats.org/officeDocument/2006/customXml" ds:itemID="{3A0026C8-B4BE-437F-9D53-5E7892FE63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1000c6-89ed-43e6-87eb-28373d6c29c0"/>
    <ds:schemaRef ds:uri="bdaa56ff-e4fa-4bdb-8477-5cb73ae3d1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1E3B94-53C1-4C59-B07D-3A682BE36A72}">
  <ds:schemaRefs>
    <ds:schemaRef ds:uri="http://www.w3.org/2001/XMLSchema"/>
  </ds:schemaRefs>
</ds:datastoreItem>
</file>

<file path=customXml/itemProps3.xml><?xml version="1.0" encoding="utf-8"?>
<ds:datastoreItem xmlns:ds="http://schemas.openxmlformats.org/officeDocument/2006/customXml" ds:itemID="{C6AF92F6-AF3C-4220-B1C8-6ADB74552101}">
  <ds:schemaRefs>
    <ds:schemaRef ds:uri="http://schemas.microsoft.com/office/2006/metadata/properties"/>
    <ds:schemaRef ds:uri="http://schemas.microsoft.com/office/infopath/2007/PartnerControls"/>
    <ds:schemaRef ds:uri="c01000c6-89ed-43e6-87eb-28373d6c29c0"/>
    <ds:schemaRef ds:uri="bdaa56ff-e4fa-4bdb-8477-5cb73ae3d147"/>
  </ds:schemaRefs>
</ds:datastoreItem>
</file>

<file path=customXml/itemProps4.xml><?xml version="1.0" encoding="utf-8"?>
<ds:datastoreItem xmlns:ds="http://schemas.openxmlformats.org/officeDocument/2006/customXml" ds:itemID="{7717E6D7-01BE-435C-8366-74C1019823F4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13FDCFF3-1630-4CD7-8936-9F2C29A318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Tables</vt:lpstr>
      <vt:lpstr>Tidsserie indikatorverdi</vt:lpstr>
      <vt:lpstr>Tilgang parkering</vt:lpstr>
      <vt:lpstr>Betale for parkering</vt:lpstr>
      <vt:lpstr>Gratis parkering</vt:lpstr>
      <vt:lpstr>Yrkesaktiv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NinaIrenHoven</dc:creator>
  <cp:lastModifiedBy>Even Sannes Riiser</cp:lastModifiedBy>
  <dcterms:created xsi:type="dcterms:W3CDTF">2025-11-13T15:29:16Z</dcterms:created>
  <dcterms:modified xsi:type="dcterms:W3CDTF">2025-11-17T10:57:58Z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Project2c2a658e-a726-4ae8-b254-1d671d565834">
    <vt:lpwstr>2025-29-13 04:29:15 +01:00|3,FromBottomOfOneToTopOfNext|OneWorksheet</vt:lpwstr>
  </property>
  <property fmtid="{D5CDD505-2E9C-101B-9397-08002B2CF9AE}" pid="3" name="Item_b7332e26-5a89-4334-97fe-e7505d3442bc">
    <vt:lpwstr>1x5-6x10|Tables</vt:lpwstr>
  </property>
  <property fmtid="{D5CDD505-2E9C-101B-9397-08002B2CF9AE}" pid="4" name="Item_36a98e32-0f2f-47d4-b8d8-c474b273bb0f">
    <vt:lpwstr>1x14-6x19|Tables</vt:lpwstr>
  </property>
  <property fmtid="{D5CDD505-2E9C-101B-9397-08002B2CF9AE}" pid="5" name="Item_e66cf466-b3b1-4444-927b-1e6669dc2ea3">
    <vt:lpwstr>1x23-6x28|Tables</vt:lpwstr>
  </property>
  <property fmtid="{D5CDD505-2E9C-101B-9397-08002B2CF9AE}" pid="6" name="Item_6fe51bfe-40e8-4f8d-a31f-effa959bc47f">
    <vt:lpwstr>1x36-4x43|Tables</vt:lpwstr>
  </property>
  <property fmtid="{D5CDD505-2E9C-101B-9397-08002B2CF9AE}" pid="7" name="Item_dc017357-fb0d-49b1-a25f-68829ca9098c">
    <vt:lpwstr>1x47-4x52|Tables</vt:lpwstr>
  </property>
  <property fmtid="{D5CDD505-2E9C-101B-9397-08002B2CF9AE}" pid="8" name="Item_788f5c3e-52eb-4dd0-adf7-29bc3c49e748">
    <vt:lpwstr>1x56-4x60|Tables</vt:lpwstr>
  </property>
  <property fmtid="{D5CDD505-2E9C-101B-9397-08002B2CF9AE}" pid="9" name="ContentTypeId">
    <vt:lpwstr>0x01010039826056341EE1469B8684422E038A0C</vt:lpwstr>
  </property>
  <property fmtid="{D5CDD505-2E9C-101B-9397-08002B2CF9AE}" pid="10" name="MediaServiceImageTags">
    <vt:lpwstr/>
  </property>
</Properties>
</file>