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707f7799b8543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tfk-my.sharepoint.com/personal/erling_kielland_servoll_vtfk_no/Documents/GitHub/VT_Pluss/02_Redigerte data/02_Opplæring og kompetanse/"/>
    </mc:Choice>
  </mc:AlternateContent>
  <xr:revisionPtr revIDLastSave="61" documentId="8_{C3268314-D2CF-4413-B9EF-031539965AF4}" xr6:coauthVersionLast="47" xr6:coauthVersionMax="47" xr10:uidLastSave="{CD0780B2-4F2D-4968-95F5-7ED8F7115754}"/>
  <bookViews>
    <workbookView xWindow="0" yWindow="0" windowWidth="36855" windowHeight="21000" activeTab="2" xr2:uid="{66BDA01B-DBFD-40FB-8054-80896674D95F}"/>
  </bookViews>
  <sheets>
    <sheet name="Stramhetsindikator" sheetId="2" r:id="rId1"/>
    <sheet name="Est. mangel per næring" sheetId="1" r:id="rId2"/>
    <sheet name="viz 2022 tabell" sheetId="6" r:id="rId3"/>
    <sheet name="viz - tabell str.nær. 2021 VT" sheetId="5" r:id="rId4"/>
    <sheet name="viz - mangel per næring VT" sheetId="4" r:id="rId5"/>
    <sheet name="viz - stramhetsindikator" sheetId="3" r:id="rId6"/>
  </sheets>
  <definedNames>
    <definedName name="_xlnm._FilterDatabase" localSheetId="4" hidden="1">'viz - mangel per næring VT'!$A$1:$B$13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6" l="1"/>
  <c r="M4" i="1"/>
  <c r="M5" i="1"/>
  <c r="M6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K4" i="1"/>
  <c r="K5" i="1"/>
  <c r="K6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I6" i="1"/>
  <c r="I7" i="1"/>
  <c r="I13" i="1"/>
  <c r="I14" i="1"/>
  <c r="I17" i="1"/>
  <c r="I18" i="1"/>
  <c r="I19" i="1"/>
  <c r="I20" i="1"/>
  <c r="I21" i="1"/>
  <c r="I23" i="1"/>
  <c r="I24" i="1"/>
  <c r="I25" i="1"/>
  <c r="I26" i="1"/>
  <c r="I27" i="1"/>
  <c r="I28" i="1"/>
  <c r="I4" i="1"/>
  <c r="J27" i="1"/>
  <c r="L27" i="1" s="1"/>
  <c r="J26" i="1"/>
  <c r="L26" i="1" s="1"/>
  <c r="J25" i="1"/>
  <c r="L25" i="1" s="1"/>
  <c r="J24" i="1"/>
  <c r="L24" i="1" s="1"/>
  <c r="J23" i="1"/>
  <c r="L23" i="1" s="1"/>
  <c r="J18" i="1"/>
  <c r="L18" i="1" s="1"/>
  <c r="J19" i="1"/>
  <c r="L19" i="1" s="1"/>
  <c r="J20" i="1"/>
  <c r="L20" i="1" s="1"/>
  <c r="J21" i="1"/>
  <c r="L21" i="1" s="1"/>
  <c r="J22" i="1"/>
  <c r="L22" i="1" s="1"/>
  <c r="J17" i="1"/>
  <c r="L17" i="1" s="1"/>
  <c r="J16" i="1"/>
  <c r="L16" i="1" s="1"/>
  <c r="J5" i="1"/>
  <c r="L5" i="1" s="1"/>
  <c r="J6" i="1"/>
  <c r="L6" i="1" s="1"/>
  <c r="J4" i="1"/>
  <c r="H5" i="1"/>
  <c r="H6" i="1"/>
  <c r="H7" i="1"/>
  <c r="H13" i="1"/>
  <c r="H14" i="1"/>
  <c r="H15" i="1"/>
  <c r="H17" i="1"/>
  <c r="H18" i="1"/>
  <c r="H19" i="1"/>
  <c r="H20" i="1"/>
  <c r="H21" i="1"/>
  <c r="H23" i="1"/>
  <c r="H24" i="1"/>
  <c r="H25" i="1"/>
  <c r="H26" i="1"/>
  <c r="H27" i="1"/>
  <c r="H28" i="1"/>
  <c r="H4" i="1"/>
  <c r="J28" i="1" l="1"/>
  <c r="L28" i="1" s="1"/>
  <c r="L4" i="1"/>
</calcChain>
</file>

<file path=xl/sharedStrings.xml><?xml version="1.0" encoding="utf-8"?>
<sst xmlns="http://schemas.openxmlformats.org/spreadsheetml/2006/main" count="114" uniqueCount="63">
  <si>
    <t>Norge</t>
  </si>
  <si>
    <t>Vestfold og Telemark</t>
  </si>
  <si>
    <t>Telemark</t>
  </si>
  <si>
    <t>Vestfold</t>
  </si>
  <si>
    <t>Jordbruk, skogbruk og fiske</t>
  </si>
  <si>
    <t>Bergverksdrift og utvinning</t>
  </si>
  <si>
    <t>Industrien</t>
  </si>
  <si>
    <t>Nærings- og nytelsemidler</t>
  </si>
  <si>
    <t>Tekstil- og lærvarer</t>
  </si>
  <si>
    <t>Trevarer</t>
  </si>
  <si>
    <t>Treforedling og grafisk prod.</t>
  </si>
  <si>
    <t>Petroleum og kjemiske prod.</t>
  </si>
  <si>
    <t>Prod. av annen industri</t>
  </si>
  <si>
    <t>Prod. av metallvarer</t>
  </si>
  <si>
    <t>Prod. av maskiner og utstyr</t>
  </si>
  <si>
    <t>Prod. av elektriske og optiske produkter</t>
  </si>
  <si>
    <t>Elektrisitet, vann og renovasjon</t>
  </si>
  <si>
    <t>Bygge- og anleggsvirksomhet</t>
  </si>
  <si>
    <t>Varehandel, motorvognreparasjoner</t>
  </si>
  <si>
    <t>Transport og lagring</t>
  </si>
  <si>
    <t>Overnattings- og serveringsvirksomhet</t>
  </si>
  <si>
    <t>Informasjon og kommunikasjon</t>
  </si>
  <si>
    <t>Finansierings- og forsikringsvirksomhet</t>
  </si>
  <si>
    <t>Eiendomsdrift, forretningsmessig og faglig tjenesteyting</t>
  </si>
  <si>
    <t>Offentlig administrasjon og forsvar, og trygdeordninger underlagt offentlig forvaltning</t>
  </si>
  <si>
    <t>Undervisning</t>
  </si>
  <si>
    <t>Helse- og sosialtjeneste</t>
  </si>
  <si>
    <t>Personlig tjenesteyting</t>
  </si>
  <si>
    <t>I alt</t>
  </si>
  <si>
    <t xml:space="preserve">Esdtimert mangel på arbeidskraft Vestfold og Telemark </t>
  </si>
  <si>
    <t>Tallene er hentet fra Navs bedriftsundersøkelser 2015-2021.</t>
  </si>
  <si>
    <t>Tallene er kopiert fra tabell 1 i hver utgivelse</t>
  </si>
  <si>
    <t>Estimert mangel i neste fane er hentet fra tabell 6 (2019 og 2020) og tabell 8 (2021)</t>
  </si>
  <si>
    <t>Endring 2020-2021</t>
  </si>
  <si>
    <t>00-99 Alle næringer</t>
  </si>
  <si>
    <t>01-03 Jordbruk, skogbruk og fiske</t>
  </si>
  <si>
    <t>05-09 Bergverksdrift og utvinning</t>
  </si>
  <si>
    <t>10-33 Industri</t>
  </si>
  <si>
    <t>35-39 Elektrisitet, vann og renovasjon</t>
  </si>
  <si>
    <t>41-43 Bygge- og anleggsvirksomhet</t>
  </si>
  <si>
    <t>45-47 Varehandel, reparasjon av motorvogner</t>
  </si>
  <si>
    <t>49-53 Transport og lagring</t>
  </si>
  <si>
    <t>55-56 Overnattings- og serveringsvirksomhet</t>
  </si>
  <si>
    <t>58-63 Informasjon og kommunikasjon</t>
  </si>
  <si>
    <t>64-66 Finansiering og forsikring</t>
  </si>
  <si>
    <t>68-75 Teknisk tjenesteyting, eiendomsdrift</t>
  </si>
  <si>
    <t>77-82 Forretningsmessig tjenesteyting</t>
  </si>
  <si>
    <t>84 Off.adm., forsvar, sosialforsikring</t>
  </si>
  <si>
    <t>85 Undervisning</t>
  </si>
  <si>
    <t>86-88 Helse- og sosialtjenester</t>
  </si>
  <si>
    <t>90-99 Personlig tjenesteyting</t>
  </si>
  <si>
    <t>00 Uoppgitt</t>
  </si>
  <si>
    <t>07984: Sysselsatte per 4. kvartal, etter næring (SN2007), statistikkvariabel, år og region</t>
  </si>
  <si>
    <t>Sysselsatte 4. kvartal 2020</t>
  </si>
  <si>
    <t>Estimert mangel på arbeidskraft 2021</t>
  </si>
  <si>
    <t>Stramhetsindikator næring</t>
  </si>
  <si>
    <t>Endring 2021-2022</t>
  </si>
  <si>
    <t>Sysselsatte personer etter arbeidssted</t>
  </si>
  <si>
    <t>2021</t>
  </si>
  <si>
    <t>38 Vestfold og Telemark</t>
  </si>
  <si>
    <t>Stramhetsindikator 2021 næring CIRCA</t>
  </si>
  <si>
    <t>Stramhetsindikator 2022 næring CIRCA</t>
  </si>
  <si>
    <t>Sysselsatte 4. kv.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</si>
</sst>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"/>
  </numFmts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E40017"/>
      <name val="Calibri"/>
      <family val="2"/>
      <scheme val="minor"/>
    </font>
    <font>
      <sz val="11"/>
      <color rgb="FF5260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aj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9CFD0"/>
        <bgColor indexed="64"/>
      </patternFill>
    </fill>
    <fill>
      <patternFill patternType="solid">
        <fgColor rgb="FFC0DCB2"/>
        <bgColor indexed="64"/>
      </patternFill>
    </fill>
    <fill>
      <patternFill patternType="solid">
        <fgColor rgb="FFF1EFD6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B2DCDA"/>
        <bgColor indexed="64"/>
      </patternFill>
    </fill>
    <fill>
      <patternFill patternType="solid">
        <fgColor rgb="FFD4DDEE"/>
        <bgColor indexed="64"/>
      </patternFill>
    </fill>
    <fill>
      <patternFill patternType="solid">
        <fgColor rgb="FFCEEBE9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526060"/>
      </bottom>
      <diagonal/>
    </border>
    <border>
      <left/>
      <right/>
      <top/>
      <bottom style="thick">
        <color theme="1"/>
      </bottom>
      <diagonal/>
    </border>
    <border>
      <left/>
      <right/>
      <top/>
      <bottom style="medium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</borders>
  <cellStyleXfs count="109">
    <xf numFmtId="0" fontId="0" fillId="0" borderId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6" fillId="3" borderId="0" applyNumberFormat="0" applyBorder="0" applyAlignment="0" applyProtection="0"/>
    <xf numFmtId="0" fontId="5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1" applyNumberFormat="0" applyAlignment="0" applyProtection="0"/>
    <xf numFmtId="0" fontId="3" fillId="8" borderId="2" applyNumberFormat="0" applyAlignment="0" applyProtection="0"/>
    <xf numFmtId="0" fontId="7" fillId="5" borderId="1" applyNumberFormat="0" applyAlignment="0" applyProtection="0"/>
    <xf numFmtId="0" fontId="6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2" fillId="7" borderId="3" applyNumberFormat="0" applyAlignment="0" applyProtection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7" applyNumberFormat="0" applyAlignment="0" applyProtection="0"/>
    <xf numFmtId="0" fontId="15" fillId="0" borderId="0" applyNumberFormat="0" applyFill="0" applyBorder="0" applyAlignment="0" applyProtection="0"/>
    <xf numFmtId="0" fontId="3" fillId="0" borderId="8" applyNumberFormat="0" applyFill="0" applyAlignment="0" applyProtection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7" fillId="0" borderId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10" applyNumberFormat="0" applyFill="0" applyAlignment="0" applyProtection="0"/>
    <xf numFmtId="0" fontId="13" fillId="0" borderId="11" applyNumberFormat="0" applyFill="0" applyAlignment="0" applyProtection="0"/>
    <xf numFmtId="0" fontId="22" fillId="34" borderId="0" applyNumberFormat="0" applyBorder="0" applyAlignment="0" applyProtection="0"/>
    <xf numFmtId="0" fontId="23" fillId="35" borderId="0" applyNumberFormat="0" applyBorder="0" applyAlignment="0" applyProtection="0"/>
    <xf numFmtId="0" fontId="24" fillId="36" borderId="0" applyNumberFormat="0" applyBorder="0" applyAlignment="0" applyProtection="0"/>
    <xf numFmtId="0" fontId="25" fillId="37" borderId="1" applyNumberFormat="0" applyAlignment="0" applyProtection="0"/>
    <xf numFmtId="0" fontId="26" fillId="38" borderId="2" applyNumberFormat="0" applyAlignment="0" applyProtection="0"/>
    <xf numFmtId="0" fontId="27" fillId="38" borderId="1" applyNumberFormat="0" applyAlignment="0" applyProtection="0"/>
    <xf numFmtId="0" fontId="28" fillId="0" borderId="12" applyNumberFormat="0" applyFill="0" applyAlignment="0" applyProtection="0"/>
    <xf numFmtId="0" fontId="29" fillId="0" borderId="0" applyNumberForma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6" fillId="33" borderId="0" applyNumberFormat="0" applyBorder="0" applyAlignment="0" applyProtection="0"/>
    <xf numFmtId="0" fontId="1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" fillId="39" borderId="3" applyNumberFormat="0" applyFont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1" fillId="0" borderId="0"/>
    <xf numFmtId="0" fontId="30" fillId="0" borderId="0" applyBorder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</cellStyleXfs>
  <cellXfs count="13">
    <xf numFmtId="0" fontId="0" fillId="0" borderId="0" xfId="0"/>
    <xf numFmtId="0" fontId="1" fillId="0" borderId="0" xfId="37"/>
    <xf numFmtId="3" fontId="0" fillId="0" borderId="0" xfId="0" applyNumberFormat="1"/>
    <xf numFmtId="0" fontId="32" fillId="0" borderId="0" xfId="102" applyNumberFormat="1" applyFont="1" applyFill="1" applyAlignment="1" applyProtection="1"/>
    <xf numFmtId="1" fontId="30" fillId="0" borderId="0" xfId="102" applyNumberFormat="1" applyFill="1" applyAlignment="1" applyProtection="1"/>
    <xf numFmtId="9" fontId="0" fillId="0" borderId="0" xfId="14" applyFont="1"/>
    <xf numFmtId="1" fontId="0" fillId="0" borderId="0" xfId="0" applyNumberFormat="1"/>
    <xf numFmtId="0" fontId="31" fillId="0" borderId="0" xfId="102" applyNumberFormat="1" applyFont="1" applyFill="1" applyAlignment="1" applyProtection="1"/>
    <xf numFmtId="165" fontId="0" fillId="0" borderId="0" xfId="0" applyNumberFormat="1"/>
    <xf numFmtId="0" fontId="1" fillId="0" borderId="0" xfId="37" applyFill="1"/>
    <xf numFmtId="0" fontId="32" fillId="0" borderId="0" xfId="102" applyNumberFormat="1" applyFont="1" applyFill="1" applyAlignment="1" applyProtection="1"/>
    <xf numFmtId="0" fontId="31" fillId="0" borderId="0" xfId="102" applyNumberFormat="1" applyFont="1" applyFill="1" applyAlignment="1" applyProtection="1"/>
    <xf numFmtId="1" fontId="30" fillId="0" borderId="0" xfId="102" applyNumberFormat="1" applyFill="1" applyAlignment="1" applyProtection="1"/>
  </cellXfs>
  <cellStyles count="109">
    <cellStyle name="20 % - uthevingsfarge 1" xfId="54" xr:uid="{3B6B8ECD-B526-42D2-8CFC-9B95FFEF0AE9}"/>
    <cellStyle name="20 % – uthevingsfarge 1" xfId="20" builtinId="30" customBuiltin="1"/>
    <cellStyle name="20 % - uthevingsfarge 2" xfId="57" xr:uid="{73A8A3DB-9097-4E43-8F0A-CBA2417FE1B0}"/>
    <cellStyle name="20 % – uthevingsfarge 2" xfId="23" builtinId="34" customBuiltin="1"/>
    <cellStyle name="20 % - uthevingsfarge 3" xfId="60" xr:uid="{7D0D8ECC-D5B3-4C94-91AA-428087CAE607}"/>
    <cellStyle name="20 % – uthevingsfarge 3" xfId="26" builtinId="38" customBuiltin="1"/>
    <cellStyle name="20 % - uthevingsfarge 4" xfId="63" xr:uid="{036DFAE1-DD1E-492E-9598-6943EA5F3F3F}"/>
    <cellStyle name="20 % – uthevingsfarge 4" xfId="29" builtinId="42" customBuiltin="1"/>
    <cellStyle name="20 % - uthevingsfarge 5" xfId="66" xr:uid="{2DE9F3D8-FADD-4662-9596-BC61993120A9}"/>
    <cellStyle name="20 % – uthevingsfarge 5" xfId="32" builtinId="46" customBuiltin="1"/>
    <cellStyle name="20 % - uthevingsfarge 6" xfId="69" xr:uid="{C15EA423-1F52-4983-A477-A8BB86E1614B}"/>
    <cellStyle name="20 % – uthevingsfarge 6" xfId="35" builtinId="50" customBuiltin="1"/>
    <cellStyle name="20% - uthevingsfarge 1" xfId="78" xr:uid="{22BB8477-2A9D-4E97-B223-F10B5E85BD2B}"/>
    <cellStyle name="20% - uthevingsfarge 2" xfId="79" xr:uid="{921AD431-FF46-400C-8066-F019813810C8}"/>
    <cellStyle name="20% - uthevingsfarge 3" xfId="80" xr:uid="{12128A2D-A601-4D47-B513-B05402487B07}"/>
    <cellStyle name="20% - uthevingsfarge 4" xfId="81" xr:uid="{8DD1AD1D-8B34-4BCD-9DEA-08FAA15E3BFD}"/>
    <cellStyle name="20% - uthevingsfarge 5" xfId="82" xr:uid="{A19C68A2-7A00-4ABA-B694-8C683648C47E}"/>
    <cellStyle name="20% - uthevingsfarge 6" xfId="83" xr:uid="{6C7659E7-187C-4D59-ABFB-2D4DEC5D791A}"/>
    <cellStyle name="40 % - uthevingsfarge 1" xfId="55" xr:uid="{197C68DD-86E2-46A5-8AAC-57DB87A8D66F}"/>
    <cellStyle name="40 % – uthevingsfarge 1" xfId="21" builtinId="31" customBuiltin="1"/>
    <cellStyle name="40 % - uthevingsfarge 2" xfId="58" xr:uid="{886C8440-4971-4B95-9A53-13C022D4ADA2}"/>
    <cellStyle name="40 % – uthevingsfarge 2" xfId="24" builtinId="35" customBuiltin="1"/>
    <cellStyle name="40 % - uthevingsfarge 3" xfId="61" xr:uid="{7FC94A70-F60A-4620-8888-EECE9E6B61EB}"/>
    <cellStyle name="40 % – uthevingsfarge 3" xfId="27" builtinId="39" customBuiltin="1"/>
    <cellStyle name="40 % - uthevingsfarge 4" xfId="64" xr:uid="{04823147-3EC0-4676-9ADA-5D7B1D517EEF}"/>
    <cellStyle name="40 % – uthevingsfarge 4" xfId="30" builtinId="43" customBuiltin="1"/>
    <cellStyle name="40 % - uthevingsfarge 5" xfId="67" xr:uid="{2D5C0E6E-2C53-4545-B80E-23E9892DD61C}"/>
    <cellStyle name="40 % – uthevingsfarge 5" xfId="33" builtinId="47" customBuiltin="1"/>
    <cellStyle name="40 % - uthevingsfarge 6" xfId="70" xr:uid="{43035798-046C-4E64-99BA-23CB2688CF02}"/>
    <cellStyle name="40 % – uthevingsfarge 6" xfId="36" builtinId="51" customBuiltin="1"/>
    <cellStyle name="40% - uthevingsfarge 1" xfId="84" xr:uid="{653357EF-BC33-489B-AE60-0AA9917D41DE}"/>
    <cellStyle name="40% - uthevingsfarge 2" xfId="85" xr:uid="{3EDAEF8B-681F-492C-AE8F-23C9284420CA}"/>
    <cellStyle name="40% - uthevingsfarge 3" xfId="86" xr:uid="{9BBC050A-0766-4128-A7A8-DE1E10061440}"/>
    <cellStyle name="40% - uthevingsfarge 4" xfId="87" xr:uid="{8F8D93F9-C32C-4019-8EBA-DA618923961C}"/>
    <cellStyle name="40% - uthevingsfarge 5" xfId="88" xr:uid="{A3AE720E-DD05-415D-9770-6FBE78D5A1B5}"/>
    <cellStyle name="40% - uthevingsfarge 6" xfId="89" xr:uid="{8C86C934-4556-4BE1-8B88-4FA5E842F14E}"/>
    <cellStyle name="60 % - uthevingsfarge 1" xfId="56" xr:uid="{876182A0-81EC-460C-9E0B-435DF589C1E8}"/>
    <cellStyle name="60 % – uthevingsfarge 1 2" xfId="103" xr:uid="{DC81CE93-97ED-4268-A5D6-D6D64EC6AC75}"/>
    <cellStyle name="60 % - uthevingsfarge 2" xfId="59" xr:uid="{B4AD0BED-FD86-43E1-A285-7F3E6D61CDCB}"/>
    <cellStyle name="60 % – uthevingsfarge 2 2" xfId="104" xr:uid="{E16D4AEF-7D03-4D33-86D4-A011A4253A1E}"/>
    <cellStyle name="60 % - uthevingsfarge 3" xfId="62" xr:uid="{24D133D9-8F36-4658-BF49-781DAFFA1B98}"/>
    <cellStyle name="60 % – uthevingsfarge 3 2" xfId="105" xr:uid="{A09851DA-E889-459B-8EC1-111D4B496BD9}"/>
    <cellStyle name="60 % - uthevingsfarge 4" xfId="65" xr:uid="{DA419C98-8DAF-4514-A5D1-FC614A246D2E}"/>
    <cellStyle name="60 % – uthevingsfarge 4 2" xfId="106" xr:uid="{19067C1C-E95A-44AB-8850-F97576D341DC}"/>
    <cellStyle name="60 % - uthevingsfarge 5" xfId="68" xr:uid="{D129BE55-C842-4EF4-8BAF-43799BBC1E9B}"/>
    <cellStyle name="60 % – uthevingsfarge 5 2" xfId="107" xr:uid="{1B97257F-54D9-4B3D-970C-8D8207A54CAC}"/>
    <cellStyle name="60 % - uthevingsfarge 6" xfId="71" xr:uid="{D071A1C5-186C-4F77-A159-BDE0AE771D61}"/>
    <cellStyle name="60 % – uthevingsfarge 6 2" xfId="108" xr:uid="{7E2B557E-EF08-4FF9-A7A0-03038EE5257F}"/>
    <cellStyle name="60% - uthevingsfarge 1" xfId="90" xr:uid="{0AC2C29F-A431-403C-A7EF-0168024E529A}"/>
    <cellStyle name="60% - uthevingsfarge 2" xfId="91" xr:uid="{DA6880FF-2B65-4C44-9252-78330045FD15}"/>
    <cellStyle name="60% - uthevingsfarge 3" xfId="92" xr:uid="{38E4426C-0CBE-43E6-8385-9052EEFF6DF2}"/>
    <cellStyle name="60% - uthevingsfarge 4" xfId="93" xr:uid="{8E1F6200-F952-45A4-A1B8-5AE1C0B9BF69}"/>
    <cellStyle name="60% - uthevingsfarge 5" xfId="94" xr:uid="{0EFF36A3-B2FD-42F7-81ED-0D1526385641}"/>
    <cellStyle name="60% - uthevingsfarge 6" xfId="95" xr:uid="{DDDCE277-BBC4-4731-9428-B03D76F19F8C}"/>
    <cellStyle name="Beregning" xfId="10" builtinId="22" customBuiltin="1"/>
    <cellStyle name="Beregning 2" xfId="51" xr:uid="{64CD0FEE-BD0A-48BB-80CC-C35EEAE8B11F}"/>
    <cellStyle name="Dårlig" xfId="6" builtinId="27" customBuiltin="1"/>
    <cellStyle name="Dårlig 2" xfId="47" xr:uid="{1710ADA9-B91B-4F83-A86D-0674B459BB9F}"/>
    <cellStyle name="Forklarende tekst" xfId="17" builtinId="53" customBuiltin="1"/>
    <cellStyle name="God" xfId="5" builtinId="26" customBuiltin="1"/>
    <cellStyle name="God 2" xfId="46" xr:uid="{14067D4C-055C-4E73-BE8C-4C11ABF105E1}"/>
    <cellStyle name="Inndata" xfId="8" builtinId="20" customBuiltin="1"/>
    <cellStyle name="Inndata 2" xfId="49" xr:uid="{0B25609F-231A-40C1-8643-941712D45DEB}"/>
    <cellStyle name="Koblet celle" xfId="11" builtinId="24" customBuiltin="1"/>
    <cellStyle name="Koblet celle 2" xfId="52" xr:uid="{13B8A228-C34A-46CB-81AB-0EB72BFAF3A9}"/>
    <cellStyle name="Komma 2" xfId="76" xr:uid="{472FBB6E-E068-430C-81AE-A7E8B3FBC3AB}"/>
    <cellStyle name="Komma 3" xfId="41" xr:uid="{C1626101-90C9-4C00-B625-67531EC537DE}"/>
    <cellStyle name="Kontrollcelle" xfId="16" builtinId="23" customBuiltin="1"/>
    <cellStyle name="Merknad" xfId="13" builtinId="10" customBuiltin="1"/>
    <cellStyle name="Merknad 2" xfId="77" xr:uid="{618D486D-D4DF-49BD-9AC4-86840CB82E88}"/>
    <cellStyle name="Normal" xfId="0" builtinId="0" customBuiltin="1"/>
    <cellStyle name="Normal 10" xfId="100" xr:uid="{2A5999D8-4251-4E40-8806-7DD4B163B4EA}"/>
    <cellStyle name="Normal 11" xfId="38" xr:uid="{D31A3B64-BEF3-4DC1-A63B-0C145920ECC8}"/>
    <cellStyle name="Normal 12" xfId="102" xr:uid="{F7830DE0-A889-497F-BD4E-7C1D1CF48E64}"/>
    <cellStyle name="Normal 2" xfId="37" xr:uid="{5DE154ED-4762-4DC0-850A-21D46BA7DC3C}"/>
    <cellStyle name="Normal 2 2" xfId="40" xr:uid="{FBC79C66-546B-4401-BE7D-67C59AD697E8}"/>
    <cellStyle name="Normal 3" xfId="73" xr:uid="{F4D14954-5791-4E9F-863E-81E3BFBC1005}"/>
    <cellStyle name="Normal 4" xfId="75" xr:uid="{9E5934B2-5681-4F95-95A8-890D433B0FCB}"/>
    <cellStyle name="Normal 5" xfId="72" xr:uid="{12C567BA-72FE-407B-AF9D-CAF357BFEFF4}"/>
    <cellStyle name="Normal 5 2" xfId="101" xr:uid="{003A5FAF-469F-4072-80AA-A41A7CC46D65}"/>
    <cellStyle name="Normal 6" xfId="96" xr:uid="{741C612A-D4EA-4D26-9146-6D7E43EB938E}"/>
    <cellStyle name="Normal 7" xfId="97" xr:uid="{5EEB15D8-3C16-4A34-9290-50DA854ECBE8}"/>
    <cellStyle name="Normal 8" xfId="98" xr:uid="{DAAD8C01-D8FD-40DA-A3C8-7313F9BA6273}"/>
    <cellStyle name="Normal 9" xfId="99" xr:uid="{D171471A-6245-4D55-B565-5D876C64C901}"/>
    <cellStyle name="Nøytral" xfId="7" builtinId="28" customBuiltin="1"/>
    <cellStyle name="Nøytral 2" xfId="48" xr:uid="{16591133-5D1C-415A-A890-2C3DB2924A22}"/>
    <cellStyle name="Overskrift 1" xfId="2" builtinId="16" customBuiltin="1"/>
    <cellStyle name="Overskrift 1 2" xfId="43" xr:uid="{BAE8B3F2-A026-4CCB-8081-651E436C42E8}"/>
    <cellStyle name="Overskrift 2" xfId="3" builtinId="17" customBuiltin="1"/>
    <cellStyle name="Overskrift 2 2" xfId="44" xr:uid="{3C68729C-BB67-4BC8-9631-7EE5547CC398}"/>
    <cellStyle name="Overskrift 3" xfId="4" builtinId="18" customBuiltin="1"/>
    <cellStyle name="Overskrift 3 2" xfId="45" xr:uid="{EF6AE72A-BD87-4D10-9B80-2B63EBEDC01D}"/>
    <cellStyle name="Overskrift 4" xfId="15" builtinId="19" customBuiltin="1"/>
    <cellStyle name="Prosent" xfId="14" builtinId="5"/>
    <cellStyle name="Prosent 2" xfId="74" xr:uid="{C92AF292-EC3E-4FB5-8814-A68A7D2CCCF1}"/>
    <cellStyle name="Prosent 3" xfId="39" xr:uid="{8A6CE876-971A-4ED0-9FB6-86EF11EE79E5}"/>
    <cellStyle name="Tittel" xfId="1" builtinId="15" customBuiltin="1"/>
    <cellStyle name="Tittel 2" xfId="42" xr:uid="{BF9EA18C-FA97-4E3B-B7BE-513AB443C6B4}"/>
    <cellStyle name="Totalt" xfId="18" builtinId="25" customBuiltin="1"/>
    <cellStyle name="Utdata" xfId="9" builtinId="21" customBuiltin="1"/>
    <cellStyle name="Utdata 2" xfId="50" xr:uid="{96008B3B-230D-4FFD-93C0-EC7EF36EE375}"/>
    <cellStyle name="Uthevingsfarge1" xfId="19" builtinId="29" customBuiltin="1"/>
    <cellStyle name="Uthevingsfarge2" xfId="22" builtinId="33" customBuiltin="1"/>
    <cellStyle name="Uthevingsfarge3" xfId="25" builtinId="37" customBuiltin="1"/>
    <cellStyle name="Uthevingsfarge4" xfId="28" builtinId="41" customBuiltin="1"/>
    <cellStyle name="Uthevingsfarge5" xfId="31" builtinId="45" customBuiltin="1"/>
    <cellStyle name="Uthevingsfarge6" xfId="34" builtinId="49" customBuiltin="1"/>
    <cellStyle name="Varseltekst" xfId="12" builtinId="11" customBuiltin="1"/>
    <cellStyle name="Varseltekst 2" xfId="53" xr:uid="{D4937F8E-E294-41B0-A743-29BAC8A34AAB}"/>
  </cellStyles>
  <dxfs count="0"/>
  <tableStyles count="0" defaultTableStyle="TableStyleMedium2" defaultPivotStyle="PivotStyleLight16"/>
  <colors>
    <mruColors>
      <color rgb="FFE40017"/>
      <color rgb="FFCEEBE9"/>
      <color rgb="FFD4DDEE"/>
      <color rgb="FF526060"/>
      <color rgb="FFB2DCDA"/>
      <color rgb="FF000000"/>
      <color rgb="FF7F7F7F"/>
      <color rgb="FFEFEFEF"/>
      <color rgb="FFF1EFD6"/>
      <color rgb="FFC0DC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NAVs stramhetsindikator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Stramhetsindikator!$C$2</c:f>
              <c:strCache>
                <c:ptCount val="1"/>
                <c:pt idx="0">
                  <c:v>Vestfold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Stramhetsindikator!$C$3:$C$9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FAC-A0E0-EF8E55A8C097}"/>
            </c:ext>
          </c:extLst>
        </c:ser>
        <c:ser>
          <c:idx val="1"/>
          <c:order val="1"/>
          <c:tx>
            <c:strRef>
              <c:f>Stramhetsindikator!$D$2</c:f>
              <c:strCache>
                <c:ptCount val="1"/>
                <c:pt idx="0">
                  <c:v>Telemark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Stramhetsindikator!$D$3:$D$9</c:f>
              <c:numCache>
                <c:formatCode>General</c:formatCode>
                <c:ptCount val="7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  <c:pt idx="3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26-4FAC-A0E0-EF8E55A8C097}"/>
            </c:ext>
          </c:extLst>
        </c:ser>
        <c:ser>
          <c:idx val="2"/>
          <c:order val="2"/>
          <c:tx>
            <c:strRef>
              <c:f>Stramhetsindikator!$E$2</c:f>
              <c:strCache>
                <c:ptCount val="1"/>
                <c:pt idx="0">
                  <c:v>Vestfold og Telemark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Stramhetsindikator!$E$3:$E$9</c:f>
              <c:numCache>
                <c:formatCode>General</c:formatCode>
                <c:ptCount val="7"/>
                <c:pt idx="4">
                  <c:v>2</c:v>
                </c:pt>
                <c:pt idx="5">
                  <c:v>2.2999999999999998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26-4FAC-A0E0-EF8E55A8C097}"/>
            </c:ext>
          </c:extLst>
        </c:ser>
        <c:ser>
          <c:idx val="3"/>
          <c:order val="3"/>
          <c:tx>
            <c:strRef>
              <c:f>Stramhetsindikator!$F$2</c:f>
              <c:strCache>
                <c:ptCount val="1"/>
                <c:pt idx="0">
                  <c:v>Norge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Stramhetsindikator!$F$3:$F$9</c:f>
              <c:numCache>
                <c:formatCode>General</c:formatCode>
                <c:ptCount val="7"/>
                <c:pt idx="0">
                  <c:v>0.8</c:v>
                </c:pt>
                <c:pt idx="1">
                  <c:v>1</c:v>
                </c:pt>
                <c:pt idx="2">
                  <c:v>1.3</c:v>
                </c:pt>
                <c:pt idx="3">
                  <c:v>1.7</c:v>
                </c:pt>
                <c:pt idx="4">
                  <c:v>2.2000000000000002</c:v>
                </c:pt>
                <c:pt idx="5">
                  <c:v>1.9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26-4FAC-A0E0-EF8E55A8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424200"/>
        <c:axId val="761434368"/>
      </c:lineChart>
      <c:catAx>
        <c:axId val="76142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34368"/>
        <c:crosses val="autoZero"/>
        <c:auto val="1"/>
        <c:lblAlgn val="ctr"/>
        <c:lblOffset val="100"/>
        <c:noMultiLvlLbl val="0"/>
      </c:catAx>
      <c:valAx>
        <c:axId val="7614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2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138112</xdr:rowOff>
    </xdr:from>
    <xdr:to>
      <xdr:col>14</xdr:col>
      <xdr:colOff>66675</xdr:colOff>
      <xdr:row>16</xdr:row>
      <xdr:rowOff>23812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367099A3-875A-4518-A1E9-AC18819B4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32">
      <a:dk1>
        <a:sysClr val="windowText" lastClr="000000"/>
      </a:dk1>
      <a:lt1>
        <a:sysClr val="window" lastClr="FFFFFF"/>
      </a:lt1>
      <a:dk2>
        <a:srgbClr val="005260"/>
      </a:dk2>
      <a:lt2>
        <a:srgbClr val="CEEBE9"/>
      </a:lt2>
      <a:accent1>
        <a:srgbClr val="7DBEBA"/>
      </a:accent1>
      <a:accent2>
        <a:srgbClr val="CFC98B"/>
      </a:accent2>
      <a:accent3>
        <a:srgbClr val="EB8380"/>
      </a:accent3>
      <a:accent4>
        <a:srgbClr val="AD879E"/>
      </a:accent4>
      <a:accent5>
        <a:srgbClr val="90BC7F"/>
      </a:accent5>
      <a:accent6>
        <a:srgbClr val="87A5AF"/>
      </a:accent6>
      <a:hlink>
        <a:srgbClr val="7DBEBA"/>
      </a:hlink>
      <a:folHlink>
        <a:srgbClr val="B0B2A5"/>
      </a:folHlink>
    </a:clrScheme>
    <a:fontScheme name="Egendefinert 50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4359-3DE4-4DD4-92DA-64A334720DAF}">
  <dimension ref="A2:F24"/>
  <sheetViews>
    <sheetView workbookViewId="0">
      <selection activeCell="B2" sqref="B2:F9"/>
    </sheetView>
  </sheetViews>
  <sheetFormatPr baseColWidth="10" defaultRowHeight="15" x14ac:dyDescent="0.25"/>
  <cols>
    <col min="1" max="16384" width="11" style="1"/>
  </cols>
  <sheetData>
    <row r="2" spans="2:6" x14ac:dyDescent="0.25">
      <c r="C2" s="1" t="s">
        <v>3</v>
      </c>
      <c r="D2" s="1" t="s">
        <v>2</v>
      </c>
      <c r="E2" s="1" t="s">
        <v>1</v>
      </c>
      <c r="F2" s="1" t="s">
        <v>0</v>
      </c>
    </row>
    <row r="3" spans="2:6" x14ac:dyDescent="0.25">
      <c r="B3" s="1">
        <v>2015</v>
      </c>
      <c r="C3" s="1">
        <v>0.7</v>
      </c>
      <c r="D3" s="1">
        <v>0.9</v>
      </c>
      <c r="F3" s="1">
        <v>0.8</v>
      </c>
    </row>
    <row r="4" spans="2:6" x14ac:dyDescent="0.25">
      <c r="B4" s="1">
        <v>2016</v>
      </c>
      <c r="C4" s="1">
        <v>0.8</v>
      </c>
      <c r="D4" s="1">
        <v>1</v>
      </c>
      <c r="F4" s="1">
        <v>1</v>
      </c>
    </row>
    <row r="5" spans="2:6" x14ac:dyDescent="0.25">
      <c r="B5" s="1">
        <v>2017</v>
      </c>
      <c r="C5" s="1">
        <v>1.1000000000000001</v>
      </c>
      <c r="D5" s="1">
        <v>1.1000000000000001</v>
      </c>
      <c r="F5" s="1">
        <v>1.3</v>
      </c>
    </row>
    <row r="6" spans="2:6" x14ac:dyDescent="0.25">
      <c r="B6" s="1">
        <v>2018</v>
      </c>
      <c r="C6" s="1">
        <v>1.2</v>
      </c>
      <c r="D6" s="1">
        <v>1.4</v>
      </c>
      <c r="F6" s="1">
        <v>1.7</v>
      </c>
    </row>
    <row r="7" spans="2:6" x14ac:dyDescent="0.25">
      <c r="B7" s="1">
        <v>2019</v>
      </c>
      <c r="E7" s="1">
        <v>2</v>
      </c>
      <c r="F7" s="1">
        <v>2.2000000000000002</v>
      </c>
    </row>
    <row r="8" spans="2:6" x14ac:dyDescent="0.25">
      <c r="B8" s="1">
        <v>2020</v>
      </c>
      <c r="E8" s="1">
        <v>2.2999999999999998</v>
      </c>
      <c r="F8" s="1">
        <v>1.9</v>
      </c>
    </row>
    <row r="9" spans="2:6" x14ac:dyDescent="0.25">
      <c r="B9" s="1">
        <v>2021</v>
      </c>
      <c r="E9" s="1">
        <v>1.7</v>
      </c>
      <c r="F9" s="1">
        <v>1.7</v>
      </c>
    </row>
    <row r="22" spans="1:1" x14ac:dyDescent="0.25">
      <c r="A22" s="1" t="s">
        <v>30</v>
      </c>
    </row>
    <row r="23" spans="1:1" x14ac:dyDescent="0.25">
      <c r="A23" s="1" t="s">
        <v>31</v>
      </c>
    </row>
    <row r="24" spans="1:1" x14ac:dyDescent="0.25">
      <c r="A24" s="1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8A1BD-755E-4D82-A080-FBD44A89DCA9}">
  <sheetPr codeName="Ark1"/>
  <dimension ref="B1:Q28"/>
  <sheetViews>
    <sheetView zoomScaleNormal="100" workbookViewId="0">
      <selection activeCell="K3" sqref="K3:K28"/>
    </sheetView>
  </sheetViews>
  <sheetFormatPr baseColWidth="10" defaultRowHeight="15.75" x14ac:dyDescent="0.25"/>
  <cols>
    <col min="1" max="1" width="14.25" customWidth="1"/>
    <col min="2" max="2" width="32.25" customWidth="1"/>
    <col min="10" max="11" width="15.875" customWidth="1"/>
    <col min="12" max="12" width="15" customWidth="1"/>
    <col min="13" max="14" width="28.875" customWidth="1"/>
  </cols>
  <sheetData>
    <row r="1" spans="2:17" ht="18.75" x14ac:dyDescent="0.3">
      <c r="N1" s="11" t="s">
        <v>57</v>
      </c>
      <c r="O1" s="3" t="s">
        <v>52</v>
      </c>
      <c r="Q1" s="10" t="s">
        <v>52</v>
      </c>
    </row>
    <row r="2" spans="2:17" x14ac:dyDescent="0.25">
      <c r="B2" t="s">
        <v>29</v>
      </c>
      <c r="P2">
        <v>2020</v>
      </c>
      <c r="Q2" s="11" t="s">
        <v>58</v>
      </c>
    </row>
    <row r="3" spans="2:17" x14ac:dyDescent="0.25">
      <c r="C3">
        <v>2019</v>
      </c>
      <c r="D3">
        <v>2020</v>
      </c>
      <c r="E3">
        <v>2021</v>
      </c>
      <c r="F3">
        <v>2022</v>
      </c>
      <c r="H3" t="s">
        <v>33</v>
      </c>
      <c r="I3" t="s">
        <v>56</v>
      </c>
      <c r="J3" t="s">
        <v>53</v>
      </c>
      <c r="L3" t="s">
        <v>60</v>
      </c>
      <c r="M3" t="s">
        <v>61</v>
      </c>
      <c r="N3" s="11" t="s">
        <v>59</v>
      </c>
      <c r="O3" s="7" t="s">
        <v>34</v>
      </c>
      <c r="P3" s="4">
        <v>183036</v>
      </c>
      <c r="Q3" s="12">
        <v>187080</v>
      </c>
    </row>
    <row r="4" spans="2:17" x14ac:dyDescent="0.25">
      <c r="B4" t="s">
        <v>4</v>
      </c>
      <c r="C4">
        <v>100</v>
      </c>
      <c r="D4">
        <v>50</v>
      </c>
      <c r="E4">
        <v>50</v>
      </c>
      <c r="F4">
        <v>100</v>
      </c>
      <c r="H4" s="5">
        <f>(E4-D4)/D4</f>
        <v>0</v>
      </c>
      <c r="I4" s="5">
        <f>(F4-E4)/E4</f>
        <v>1</v>
      </c>
      <c r="J4" s="6">
        <f>P4</f>
        <v>3352</v>
      </c>
      <c r="K4" s="6">
        <f>Q4</f>
        <v>3413</v>
      </c>
      <c r="L4" s="8">
        <f>E4/J4*100</f>
        <v>1.4916467780429594</v>
      </c>
      <c r="M4" s="8">
        <f>F4/K4*100</f>
        <v>2.929973630237328</v>
      </c>
      <c r="O4" s="7" t="s">
        <v>35</v>
      </c>
      <c r="P4" s="4">
        <v>3352</v>
      </c>
      <c r="Q4" s="12">
        <v>3413</v>
      </c>
    </row>
    <row r="5" spans="2:17" x14ac:dyDescent="0.25">
      <c r="B5" t="s">
        <v>5</v>
      </c>
      <c r="C5">
        <v>0</v>
      </c>
      <c r="D5">
        <v>50</v>
      </c>
      <c r="E5">
        <v>0</v>
      </c>
      <c r="F5">
        <v>0</v>
      </c>
      <c r="H5" s="5">
        <f t="shared" ref="H5:H28" si="0">(E5-D5)/D5</f>
        <v>-1</v>
      </c>
      <c r="I5" s="5"/>
      <c r="J5" s="6">
        <f t="shared" ref="J5:K6" si="1">P5</f>
        <v>633</v>
      </c>
      <c r="K5" s="6">
        <f t="shared" si="1"/>
        <v>643</v>
      </c>
      <c r="L5" s="8">
        <f t="shared" ref="L5:M28" si="2">E5/J5*100</f>
        <v>0</v>
      </c>
      <c r="M5" s="8">
        <f t="shared" si="2"/>
        <v>0</v>
      </c>
      <c r="O5" s="7" t="s">
        <v>36</v>
      </c>
      <c r="P5" s="4">
        <v>633</v>
      </c>
      <c r="Q5" s="12">
        <v>643</v>
      </c>
    </row>
    <row r="6" spans="2:17" x14ac:dyDescent="0.25">
      <c r="B6" t="s">
        <v>6</v>
      </c>
      <c r="C6">
        <v>300</v>
      </c>
      <c r="D6">
        <v>600</v>
      </c>
      <c r="E6">
        <v>250</v>
      </c>
      <c r="F6">
        <v>350</v>
      </c>
      <c r="H6" s="5">
        <f t="shared" si="0"/>
        <v>-0.58333333333333337</v>
      </c>
      <c r="I6" s="5">
        <f t="shared" ref="I6:I28" si="3">(F6-E6)/E6</f>
        <v>0.4</v>
      </c>
      <c r="J6" s="6">
        <f t="shared" si="1"/>
        <v>18771</v>
      </c>
      <c r="K6" s="6">
        <f t="shared" si="1"/>
        <v>18682</v>
      </c>
      <c r="L6" s="8">
        <f t="shared" si="2"/>
        <v>1.3318416706621916</v>
      </c>
      <c r="M6" s="8">
        <f t="shared" si="2"/>
        <v>1.8734610855368805</v>
      </c>
      <c r="O6" s="7" t="s">
        <v>37</v>
      </c>
      <c r="P6" s="4">
        <v>18771</v>
      </c>
      <c r="Q6" s="12">
        <v>18682</v>
      </c>
    </row>
    <row r="7" spans="2:17" x14ac:dyDescent="0.25">
      <c r="B7" t="s">
        <v>7</v>
      </c>
      <c r="C7">
        <v>50</v>
      </c>
      <c r="D7">
        <v>50</v>
      </c>
      <c r="E7">
        <v>50</v>
      </c>
      <c r="F7">
        <v>50</v>
      </c>
      <c r="H7" s="5">
        <f t="shared" si="0"/>
        <v>0</v>
      </c>
      <c r="I7" s="5">
        <f t="shared" si="3"/>
        <v>0</v>
      </c>
      <c r="L7" s="8"/>
      <c r="M7" s="8"/>
      <c r="O7" s="7" t="s">
        <v>38</v>
      </c>
      <c r="P7" s="4">
        <v>2616</v>
      </c>
      <c r="Q7" s="12">
        <v>2754</v>
      </c>
    </row>
    <row r="8" spans="2:17" x14ac:dyDescent="0.25">
      <c r="B8" t="s">
        <v>8</v>
      </c>
      <c r="C8">
        <v>0</v>
      </c>
      <c r="D8">
        <v>0</v>
      </c>
      <c r="E8">
        <v>0</v>
      </c>
      <c r="F8">
        <v>0</v>
      </c>
      <c r="H8" s="5"/>
      <c r="I8" s="5"/>
      <c r="L8" s="8"/>
      <c r="M8" s="8"/>
      <c r="O8" s="7" t="s">
        <v>39</v>
      </c>
      <c r="P8" s="4">
        <v>18216</v>
      </c>
      <c r="Q8" s="12">
        <v>18825</v>
      </c>
    </row>
    <row r="9" spans="2:17" x14ac:dyDescent="0.25">
      <c r="B9" t="s">
        <v>9</v>
      </c>
      <c r="C9">
        <v>0</v>
      </c>
      <c r="D9">
        <v>0</v>
      </c>
      <c r="E9">
        <v>0</v>
      </c>
      <c r="F9">
        <v>0</v>
      </c>
      <c r="H9" s="5"/>
      <c r="I9" s="5"/>
      <c r="L9" s="8"/>
      <c r="M9" s="8"/>
      <c r="O9" s="7" t="s">
        <v>40</v>
      </c>
      <c r="P9" s="4">
        <v>25988</v>
      </c>
      <c r="Q9" s="12">
        <v>26727</v>
      </c>
    </row>
    <row r="10" spans="2:17" x14ac:dyDescent="0.25">
      <c r="B10" t="s">
        <v>10</v>
      </c>
      <c r="C10">
        <v>0</v>
      </c>
      <c r="D10">
        <v>0</v>
      </c>
      <c r="E10">
        <v>0</v>
      </c>
      <c r="F10">
        <v>0</v>
      </c>
      <c r="H10" s="5"/>
      <c r="I10" s="5"/>
      <c r="L10" s="8"/>
      <c r="M10" s="8"/>
      <c r="O10" s="7" t="s">
        <v>41</v>
      </c>
      <c r="P10" s="4">
        <v>7756</v>
      </c>
      <c r="Q10" s="12">
        <v>7749</v>
      </c>
    </row>
    <row r="11" spans="2:17" x14ac:dyDescent="0.25">
      <c r="B11" t="s">
        <v>11</v>
      </c>
      <c r="C11">
        <v>0</v>
      </c>
      <c r="D11">
        <v>0</v>
      </c>
      <c r="E11">
        <v>0</v>
      </c>
      <c r="F11">
        <v>0</v>
      </c>
      <c r="H11" s="5"/>
      <c r="I11" s="5"/>
      <c r="L11" s="8"/>
      <c r="M11" s="8"/>
      <c r="O11" s="7" t="s">
        <v>42</v>
      </c>
      <c r="P11" s="4">
        <v>5079</v>
      </c>
      <c r="Q11" s="12">
        <v>5966</v>
      </c>
    </row>
    <row r="12" spans="2:17" x14ac:dyDescent="0.25">
      <c r="B12" t="s">
        <v>12</v>
      </c>
      <c r="C12">
        <v>50</v>
      </c>
      <c r="D12">
        <v>0</v>
      </c>
      <c r="E12">
        <v>0</v>
      </c>
      <c r="F12">
        <v>0</v>
      </c>
      <c r="H12" s="5"/>
      <c r="I12" s="5"/>
      <c r="L12" s="8"/>
      <c r="M12" s="8"/>
      <c r="O12" s="7" t="s">
        <v>43</v>
      </c>
      <c r="P12" s="4">
        <v>4132</v>
      </c>
      <c r="Q12" s="12">
        <v>4337</v>
      </c>
    </row>
    <row r="13" spans="2:17" x14ac:dyDescent="0.25">
      <c r="B13" t="s">
        <v>13</v>
      </c>
      <c r="C13">
        <v>100</v>
      </c>
      <c r="D13">
        <v>250</v>
      </c>
      <c r="E13">
        <v>50</v>
      </c>
      <c r="F13">
        <v>100</v>
      </c>
      <c r="H13" s="5">
        <f t="shared" si="0"/>
        <v>-0.8</v>
      </c>
      <c r="I13" s="5">
        <f t="shared" si="3"/>
        <v>1</v>
      </c>
      <c r="L13" s="8"/>
      <c r="M13" s="8"/>
      <c r="O13" s="7" t="s">
        <v>44</v>
      </c>
      <c r="P13" s="4">
        <v>1319</v>
      </c>
      <c r="Q13" s="12">
        <v>1319</v>
      </c>
    </row>
    <row r="14" spans="2:17" x14ac:dyDescent="0.25">
      <c r="B14" t="s">
        <v>14</v>
      </c>
      <c r="C14">
        <v>50</v>
      </c>
      <c r="D14">
        <v>200</v>
      </c>
      <c r="E14">
        <v>100</v>
      </c>
      <c r="F14">
        <v>100</v>
      </c>
      <c r="H14" s="5">
        <f t="shared" si="0"/>
        <v>-0.5</v>
      </c>
      <c r="I14" s="5">
        <f t="shared" si="3"/>
        <v>0</v>
      </c>
      <c r="L14" s="8"/>
      <c r="M14" s="8"/>
      <c r="O14" s="7" t="s">
        <v>45</v>
      </c>
      <c r="P14" s="4">
        <v>9411</v>
      </c>
      <c r="Q14" s="12">
        <v>9777</v>
      </c>
    </row>
    <row r="15" spans="2:17" x14ac:dyDescent="0.25">
      <c r="B15" t="s">
        <v>15</v>
      </c>
      <c r="C15">
        <v>0</v>
      </c>
      <c r="D15">
        <v>50</v>
      </c>
      <c r="E15">
        <v>0</v>
      </c>
      <c r="F15">
        <v>50</v>
      </c>
      <c r="H15" s="5">
        <f t="shared" si="0"/>
        <v>-1</v>
      </c>
      <c r="I15" s="5"/>
      <c r="L15" s="8"/>
      <c r="M15" s="8"/>
      <c r="O15" s="7" t="s">
        <v>46</v>
      </c>
      <c r="P15" s="4">
        <v>8288</v>
      </c>
      <c r="Q15" s="12">
        <v>8793</v>
      </c>
    </row>
    <row r="16" spans="2:17" x14ac:dyDescent="0.25">
      <c r="B16" t="s">
        <v>16</v>
      </c>
      <c r="C16">
        <v>0</v>
      </c>
      <c r="D16">
        <v>0</v>
      </c>
      <c r="E16">
        <v>0</v>
      </c>
      <c r="F16">
        <v>50</v>
      </c>
      <c r="H16" s="5"/>
      <c r="I16" s="5"/>
      <c r="J16" s="6">
        <f>P7</f>
        <v>2616</v>
      </c>
      <c r="K16" s="6">
        <f>Q7</f>
        <v>2754</v>
      </c>
      <c r="L16" s="8">
        <f t="shared" si="2"/>
        <v>0</v>
      </c>
      <c r="M16" s="8">
        <f t="shared" si="2"/>
        <v>1.8155410312273059</v>
      </c>
      <c r="O16" s="7" t="s">
        <v>47</v>
      </c>
      <c r="P16" s="4">
        <v>10880</v>
      </c>
      <c r="Q16" s="12">
        <v>10901</v>
      </c>
    </row>
    <row r="17" spans="2:17" x14ac:dyDescent="0.25">
      <c r="B17" t="s">
        <v>17</v>
      </c>
      <c r="C17">
        <v>800</v>
      </c>
      <c r="D17">
        <v>800</v>
      </c>
      <c r="E17">
        <v>900</v>
      </c>
      <c r="F17">
        <v>1100</v>
      </c>
      <c r="H17" s="5">
        <f t="shared" si="0"/>
        <v>0.125</v>
      </c>
      <c r="I17" s="5">
        <f t="shared" si="3"/>
        <v>0.22222222222222221</v>
      </c>
      <c r="J17" s="6">
        <f>P8</f>
        <v>18216</v>
      </c>
      <c r="K17" s="6">
        <f>Q8</f>
        <v>18825</v>
      </c>
      <c r="L17" s="8">
        <f t="shared" si="2"/>
        <v>4.9407114624505928</v>
      </c>
      <c r="M17" s="8">
        <f t="shared" si="2"/>
        <v>5.8432934926958824</v>
      </c>
      <c r="O17" s="7" t="s">
        <v>48</v>
      </c>
      <c r="P17" s="4">
        <v>15324</v>
      </c>
      <c r="Q17" s="12">
        <v>15524</v>
      </c>
    </row>
    <row r="18" spans="2:17" x14ac:dyDescent="0.25">
      <c r="B18" t="s">
        <v>18</v>
      </c>
      <c r="C18">
        <v>650</v>
      </c>
      <c r="D18">
        <v>650</v>
      </c>
      <c r="E18">
        <v>400</v>
      </c>
      <c r="F18">
        <v>650</v>
      </c>
      <c r="H18" s="5">
        <f t="shared" si="0"/>
        <v>-0.38461538461538464</v>
      </c>
      <c r="I18" s="5">
        <f t="shared" si="3"/>
        <v>0.625</v>
      </c>
      <c r="J18" s="6">
        <f t="shared" ref="J18:K22" si="4">P9</f>
        <v>25988</v>
      </c>
      <c r="K18" s="6">
        <f t="shared" si="4"/>
        <v>26727</v>
      </c>
      <c r="L18" s="8">
        <f t="shared" si="2"/>
        <v>1.5391719255040788</v>
      </c>
      <c r="M18" s="8">
        <f t="shared" si="2"/>
        <v>2.4319976054177421</v>
      </c>
      <c r="O18" s="7" t="s">
        <v>49</v>
      </c>
      <c r="P18" s="4">
        <v>43183</v>
      </c>
      <c r="Q18" s="12">
        <v>43502</v>
      </c>
    </row>
    <row r="19" spans="2:17" x14ac:dyDescent="0.25">
      <c r="B19" t="s">
        <v>19</v>
      </c>
      <c r="C19">
        <v>200</v>
      </c>
      <c r="D19">
        <v>150</v>
      </c>
      <c r="E19">
        <v>100</v>
      </c>
      <c r="F19">
        <v>200</v>
      </c>
      <c r="H19" s="5">
        <f t="shared" si="0"/>
        <v>-0.33333333333333331</v>
      </c>
      <c r="I19" s="5">
        <f t="shared" si="3"/>
        <v>1</v>
      </c>
      <c r="J19" s="6">
        <f t="shared" si="4"/>
        <v>7756</v>
      </c>
      <c r="K19" s="6">
        <f t="shared" si="4"/>
        <v>7749</v>
      </c>
      <c r="L19" s="8">
        <f t="shared" si="2"/>
        <v>1.2893243940175347</v>
      </c>
      <c r="M19" s="8">
        <f t="shared" si="2"/>
        <v>2.5809781907342884</v>
      </c>
      <c r="O19" s="7" t="s">
        <v>50</v>
      </c>
      <c r="P19" s="4">
        <v>6406</v>
      </c>
      <c r="Q19" s="12">
        <v>6635</v>
      </c>
    </row>
    <row r="20" spans="2:17" x14ac:dyDescent="0.25">
      <c r="B20" t="s">
        <v>20</v>
      </c>
      <c r="C20">
        <v>200</v>
      </c>
      <c r="D20">
        <v>450</v>
      </c>
      <c r="E20">
        <v>200</v>
      </c>
      <c r="F20">
        <v>550</v>
      </c>
      <c r="H20" s="5">
        <f t="shared" si="0"/>
        <v>-0.55555555555555558</v>
      </c>
      <c r="I20" s="5">
        <f t="shared" si="3"/>
        <v>1.75</v>
      </c>
      <c r="J20" s="6">
        <f t="shared" si="4"/>
        <v>5079</v>
      </c>
      <c r="K20" s="6">
        <f t="shared" si="4"/>
        <v>5966</v>
      </c>
      <c r="L20" s="8">
        <f t="shared" si="2"/>
        <v>3.9377830281551485</v>
      </c>
      <c r="M20" s="8">
        <f t="shared" si="2"/>
        <v>9.2189071404626226</v>
      </c>
      <c r="O20" s="7" t="s">
        <v>51</v>
      </c>
      <c r="P20" s="4">
        <v>1682</v>
      </c>
      <c r="Q20" s="12">
        <v>1533</v>
      </c>
    </row>
    <row r="21" spans="2:17" x14ac:dyDescent="0.25">
      <c r="B21" t="s">
        <v>21</v>
      </c>
      <c r="C21">
        <v>50</v>
      </c>
      <c r="D21">
        <v>50</v>
      </c>
      <c r="E21">
        <v>150</v>
      </c>
      <c r="F21">
        <v>150</v>
      </c>
      <c r="H21" s="5">
        <f t="shared" si="0"/>
        <v>2</v>
      </c>
      <c r="I21" s="5">
        <f t="shared" si="3"/>
        <v>0</v>
      </c>
      <c r="J21" s="6">
        <f t="shared" si="4"/>
        <v>4132</v>
      </c>
      <c r="K21" s="6">
        <f t="shared" si="4"/>
        <v>4337</v>
      </c>
      <c r="L21" s="8">
        <f t="shared" si="2"/>
        <v>3.6302032913843174</v>
      </c>
      <c r="M21" s="8">
        <f t="shared" si="2"/>
        <v>3.4586119437399123</v>
      </c>
    </row>
    <row r="22" spans="2:17" x14ac:dyDescent="0.25">
      <c r="B22" t="s">
        <v>22</v>
      </c>
      <c r="C22">
        <v>0</v>
      </c>
      <c r="D22">
        <v>0</v>
      </c>
      <c r="E22">
        <v>0</v>
      </c>
      <c r="F22">
        <v>0</v>
      </c>
      <c r="H22" s="5"/>
      <c r="I22" s="5"/>
      <c r="J22" s="6">
        <f t="shared" si="4"/>
        <v>1319</v>
      </c>
      <c r="K22" s="6">
        <f t="shared" si="4"/>
        <v>1319</v>
      </c>
      <c r="L22" s="8">
        <f t="shared" si="2"/>
        <v>0</v>
      </c>
      <c r="M22" s="8">
        <f t="shared" si="2"/>
        <v>0</v>
      </c>
    </row>
    <row r="23" spans="2:17" x14ac:dyDescent="0.25">
      <c r="B23" t="s">
        <v>23</v>
      </c>
      <c r="C23">
        <v>850</v>
      </c>
      <c r="D23">
        <v>900</v>
      </c>
      <c r="E23">
        <v>400</v>
      </c>
      <c r="F23">
        <v>950</v>
      </c>
      <c r="H23" s="5">
        <f t="shared" si="0"/>
        <v>-0.55555555555555558</v>
      </c>
      <c r="I23" s="5">
        <f t="shared" si="3"/>
        <v>1.375</v>
      </c>
      <c r="J23" s="6">
        <f>SUM(P14:P15)</f>
        <v>17699</v>
      </c>
      <c r="K23" s="6">
        <f>SUM(Q14:Q15)</f>
        <v>18570</v>
      </c>
      <c r="L23" s="8">
        <f t="shared" si="2"/>
        <v>2.2600146900954856</v>
      </c>
      <c r="M23" s="8">
        <f t="shared" si="2"/>
        <v>5.1157781367797517</v>
      </c>
    </row>
    <row r="24" spans="2:17" x14ac:dyDescent="0.25">
      <c r="B24" t="s">
        <v>24</v>
      </c>
      <c r="C24">
        <v>50</v>
      </c>
      <c r="D24">
        <v>50</v>
      </c>
      <c r="E24">
        <v>50</v>
      </c>
      <c r="F24">
        <v>100</v>
      </c>
      <c r="H24" s="5">
        <f t="shared" si="0"/>
        <v>0</v>
      </c>
      <c r="I24" s="5">
        <f t="shared" si="3"/>
        <v>1</v>
      </c>
      <c r="J24" s="6">
        <f>P16</f>
        <v>10880</v>
      </c>
      <c r="K24" s="6">
        <f>Q16</f>
        <v>10901</v>
      </c>
      <c r="L24" s="8">
        <f t="shared" si="2"/>
        <v>0.4595588235294118</v>
      </c>
      <c r="M24" s="8">
        <f t="shared" si="2"/>
        <v>0.91734703238235027</v>
      </c>
    </row>
    <row r="25" spans="2:17" x14ac:dyDescent="0.25">
      <c r="B25" t="s">
        <v>25</v>
      </c>
      <c r="C25">
        <v>100</v>
      </c>
      <c r="D25">
        <v>100</v>
      </c>
      <c r="E25">
        <v>50</v>
      </c>
      <c r="F25">
        <v>150</v>
      </c>
      <c r="H25" s="5">
        <f t="shared" si="0"/>
        <v>-0.5</v>
      </c>
      <c r="I25" s="5">
        <f t="shared" si="3"/>
        <v>2</v>
      </c>
      <c r="J25" s="6">
        <f>P17</f>
        <v>15324</v>
      </c>
      <c r="K25" s="6">
        <f>Q17</f>
        <v>15524</v>
      </c>
      <c r="L25" s="8">
        <f t="shared" si="2"/>
        <v>0.32628556512659879</v>
      </c>
      <c r="M25" s="8">
        <f t="shared" si="2"/>
        <v>0.9662458129348106</v>
      </c>
    </row>
    <row r="26" spans="2:17" x14ac:dyDescent="0.25">
      <c r="B26" t="s">
        <v>26</v>
      </c>
      <c r="C26">
        <v>700</v>
      </c>
      <c r="D26">
        <v>750</v>
      </c>
      <c r="E26">
        <v>800</v>
      </c>
      <c r="F26">
        <v>1600</v>
      </c>
      <c r="H26" s="5">
        <f t="shared" si="0"/>
        <v>6.6666666666666666E-2</v>
      </c>
      <c r="I26" s="5">
        <f t="shared" si="3"/>
        <v>1</v>
      </c>
      <c r="J26" s="6">
        <f>P18</f>
        <v>43183</v>
      </c>
      <c r="K26" s="6">
        <f>Q18</f>
        <v>43502</v>
      </c>
      <c r="L26" s="8">
        <f t="shared" si="2"/>
        <v>1.8525808767338998</v>
      </c>
      <c r="M26" s="8">
        <f t="shared" si="2"/>
        <v>3.6779918164682082</v>
      </c>
    </row>
    <row r="27" spans="2:17" x14ac:dyDescent="0.25">
      <c r="B27" t="s">
        <v>27</v>
      </c>
      <c r="C27">
        <v>100</v>
      </c>
      <c r="D27">
        <v>100</v>
      </c>
      <c r="E27">
        <v>50</v>
      </c>
      <c r="F27">
        <v>150</v>
      </c>
      <c r="H27" s="5">
        <f t="shared" si="0"/>
        <v>-0.5</v>
      </c>
      <c r="I27" s="5">
        <f t="shared" si="3"/>
        <v>2</v>
      </c>
      <c r="J27" s="6">
        <f>P19</f>
        <v>6406</v>
      </c>
      <c r="K27" s="6">
        <f>Q19</f>
        <v>6635</v>
      </c>
      <c r="L27" s="8">
        <f t="shared" si="2"/>
        <v>0.78051826412738057</v>
      </c>
      <c r="M27" s="8">
        <f t="shared" si="2"/>
        <v>2.2607385079125848</v>
      </c>
    </row>
    <row r="28" spans="2:17" x14ac:dyDescent="0.25">
      <c r="B28" t="s">
        <v>28</v>
      </c>
      <c r="C28" s="2">
        <v>4150</v>
      </c>
      <c r="D28" s="2">
        <v>4750</v>
      </c>
      <c r="E28" s="2">
        <v>3450</v>
      </c>
      <c r="F28">
        <v>6100</v>
      </c>
      <c r="H28" s="5">
        <f t="shared" si="0"/>
        <v>-0.27368421052631581</v>
      </c>
      <c r="I28" s="5">
        <f t="shared" si="3"/>
        <v>0.76811594202898548</v>
      </c>
      <c r="J28" s="6">
        <f>SUM(J4:J27)</f>
        <v>181354</v>
      </c>
      <c r="K28" s="6">
        <f>SUM(K4:K27)</f>
        <v>185547</v>
      </c>
      <c r="L28" s="8">
        <f t="shared" si="2"/>
        <v>1.9023567166977295</v>
      </c>
      <c r="M28" s="8">
        <f t="shared" si="2"/>
        <v>3.2875767325798853</v>
      </c>
    </row>
  </sheetData>
  <phoneticPr fontId="4" type="noConversion"/>
  <conditionalFormatting sqref="H4:I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3332-50E5-431D-AB26-2CA9EDFA35A1}">
  <dimension ref="A1:D18"/>
  <sheetViews>
    <sheetView tabSelected="1" workbookViewId="0">
      <selection activeCell="B18" sqref="B18"/>
    </sheetView>
  </sheetViews>
  <sheetFormatPr baseColWidth="10" defaultRowHeight="15.75" x14ac:dyDescent="0.25"/>
  <sheetData>
    <row r="1" spans="1:4" x14ac:dyDescent="0.25">
      <c r="A1" t="s">
        <v>29</v>
      </c>
    </row>
    <row r="2" spans="1:4" x14ac:dyDescent="0.25">
      <c r="B2">
        <v>2022</v>
      </c>
      <c r="C2" t="s">
        <v>62</v>
      </c>
      <c r="D2" t="s">
        <v>61</v>
      </c>
    </row>
    <row r="3" spans="1:4" x14ac:dyDescent="0.25">
      <c r="A3" t="s">
        <v>4</v>
      </c>
      <c r="B3">
        <v>100</v>
      </c>
      <c r="C3">
        <v>3413</v>
      </c>
      <c r="D3" s="8">
        <v>2.929973630237328</v>
      </c>
    </row>
    <row r="4" spans="1:4" x14ac:dyDescent="0.25">
      <c r="A4" t="s">
        <v>5</v>
      </c>
      <c r="B4">
        <v>0</v>
      </c>
      <c r="C4">
        <v>643</v>
      </c>
      <c r="D4" s="8">
        <v>0</v>
      </c>
    </row>
    <row r="5" spans="1:4" x14ac:dyDescent="0.25">
      <c r="A5" t="s">
        <v>6</v>
      </c>
      <c r="B5">
        <v>350</v>
      </c>
      <c r="C5">
        <v>18682</v>
      </c>
      <c r="D5" s="8">
        <v>1.8734610855368805</v>
      </c>
    </row>
    <row r="6" spans="1:4" x14ac:dyDescent="0.25">
      <c r="A6" t="s">
        <v>16</v>
      </c>
      <c r="B6">
        <v>50</v>
      </c>
      <c r="C6">
        <v>2754</v>
      </c>
      <c r="D6" s="8">
        <v>1.8155410312273059</v>
      </c>
    </row>
    <row r="7" spans="1:4" x14ac:dyDescent="0.25">
      <c r="A7" t="s">
        <v>17</v>
      </c>
      <c r="B7">
        <v>1100</v>
      </c>
      <c r="C7">
        <v>18825</v>
      </c>
      <c r="D7" s="8">
        <v>5.8432934926958824</v>
      </c>
    </row>
    <row r="8" spans="1:4" x14ac:dyDescent="0.25">
      <c r="A8" t="s">
        <v>18</v>
      </c>
      <c r="B8">
        <v>650</v>
      </c>
      <c r="C8">
        <v>26727</v>
      </c>
      <c r="D8" s="8">
        <v>2.4319976054177421</v>
      </c>
    </row>
    <row r="9" spans="1:4" x14ac:dyDescent="0.25">
      <c r="A9" t="s">
        <v>19</v>
      </c>
      <c r="B9">
        <v>200</v>
      </c>
      <c r="C9">
        <v>7749</v>
      </c>
      <c r="D9" s="8">
        <v>2.5809781907342884</v>
      </c>
    </row>
    <row r="10" spans="1:4" x14ac:dyDescent="0.25">
      <c r="A10" t="s">
        <v>20</v>
      </c>
      <c r="B10">
        <v>550</v>
      </c>
      <c r="C10">
        <v>5966</v>
      </c>
      <c r="D10" s="8">
        <v>9.2189071404626226</v>
      </c>
    </row>
    <row r="11" spans="1:4" x14ac:dyDescent="0.25">
      <c r="A11" t="s">
        <v>21</v>
      </c>
      <c r="B11">
        <v>150</v>
      </c>
      <c r="C11">
        <v>4337</v>
      </c>
      <c r="D11" s="8">
        <v>3.4586119437399123</v>
      </c>
    </row>
    <row r="12" spans="1:4" x14ac:dyDescent="0.25">
      <c r="A12" t="s">
        <v>22</v>
      </c>
      <c r="B12">
        <v>0</v>
      </c>
      <c r="C12">
        <v>1319</v>
      </c>
      <c r="D12" s="8">
        <v>0</v>
      </c>
    </row>
    <row r="13" spans="1:4" x14ac:dyDescent="0.25">
      <c r="A13" t="s">
        <v>23</v>
      </c>
      <c r="B13">
        <v>950</v>
      </c>
      <c r="C13">
        <v>18570</v>
      </c>
      <c r="D13" s="8">
        <v>5.1157781367797517</v>
      </c>
    </row>
    <row r="14" spans="1:4" x14ac:dyDescent="0.25">
      <c r="A14" t="s">
        <v>24</v>
      </c>
      <c r="B14">
        <v>100</v>
      </c>
      <c r="C14">
        <v>10901</v>
      </c>
      <c r="D14" s="8">
        <v>0.91734703238235027</v>
      </c>
    </row>
    <row r="15" spans="1:4" x14ac:dyDescent="0.25">
      <c r="A15" t="s">
        <v>25</v>
      </c>
      <c r="B15">
        <v>150</v>
      </c>
      <c r="C15">
        <v>15524</v>
      </c>
      <c r="D15" s="8">
        <v>0.9662458129348106</v>
      </c>
    </row>
    <row r="16" spans="1:4" x14ac:dyDescent="0.25">
      <c r="A16" t="s">
        <v>26</v>
      </c>
      <c r="B16">
        <v>1600</v>
      </c>
      <c r="C16">
        <v>43502</v>
      </c>
      <c r="D16" s="8">
        <v>3.6779918164682082</v>
      </c>
    </row>
    <row r="17" spans="1:4" x14ac:dyDescent="0.25">
      <c r="A17" t="s">
        <v>27</v>
      </c>
      <c r="B17">
        <v>150</v>
      </c>
      <c r="C17">
        <v>6635</v>
      </c>
      <c r="D17" s="8">
        <v>2.2607385079125848</v>
      </c>
    </row>
    <row r="18" spans="1:4" x14ac:dyDescent="0.25">
      <c r="A18" t="s">
        <v>28</v>
      </c>
      <c r="B18">
        <f>SUM(B3:B17)</f>
        <v>6100</v>
      </c>
      <c r="C18">
        <v>185547</v>
      </c>
      <c r="D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99051-BA3E-42F8-B8A6-B7FCF42DD4BE}">
  <dimension ref="A1:D16"/>
  <sheetViews>
    <sheetView workbookViewId="0">
      <selection activeCell="H49" sqref="H49"/>
    </sheetView>
  </sheetViews>
  <sheetFormatPr baseColWidth="10" defaultRowHeight="15.75" x14ac:dyDescent="0.25"/>
  <sheetData>
    <row r="1" spans="1:4" x14ac:dyDescent="0.25">
      <c r="B1" t="s">
        <v>54</v>
      </c>
      <c r="C1" t="s">
        <v>53</v>
      </c>
      <c r="D1" t="s">
        <v>55</v>
      </c>
    </row>
    <row r="2" spans="1:4" x14ac:dyDescent="0.25">
      <c r="A2" t="s">
        <v>4</v>
      </c>
      <c r="B2">
        <v>50</v>
      </c>
      <c r="C2">
        <v>3352</v>
      </c>
      <c r="D2" s="8">
        <v>1.4916467780429594</v>
      </c>
    </row>
    <row r="3" spans="1:4" x14ac:dyDescent="0.25">
      <c r="A3" t="s">
        <v>5</v>
      </c>
      <c r="B3">
        <v>0</v>
      </c>
      <c r="C3">
        <v>633</v>
      </c>
      <c r="D3" s="8">
        <v>0</v>
      </c>
    </row>
    <row r="4" spans="1:4" x14ac:dyDescent="0.25">
      <c r="A4" t="s">
        <v>6</v>
      </c>
      <c r="B4">
        <v>250</v>
      </c>
      <c r="C4">
        <v>18771</v>
      </c>
      <c r="D4" s="8">
        <v>1.3318416706621916</v>
      </c>
    </row>
    <row r="5" spans="1:4" x14ac:dyDescent="0.25">
      <c r="A5" t="s">
        <v>16</v>
      </c>
      <c r="B5">
        <v>0</v>
      </c>
      <c r="C5">
        <v>2616</v>
      </c>
      <c r="D5" s="8">
        <v>0</v>
      </c>
    </row>
    <row r="6" spans="1:4" x14ac:dyDescent="0.25">
      <c r="A6" t="s">
        <v>17</v>
      </c>
      <c r="B6">
        <v>900</v>
      </c>
      <c r="C6">
        <v>18216</v>
      </c>
      <c r="D6" s="8">
        <v>4.9407114624505928</v>
      </c>
    </row>
    <row r="7" spans="1:4" x14ac:dyDescent="0.25">
      <c r="A7" t="s">
        <v>18</v>
      </c>
      <c r="B7">
        <v>400</v>
      </c>
      <c r="C7">
        <v>25988</v>
      </c>
      <c r="D7" s="8">
        <v>1.5391719255040788</v>
      </c>
    </row>
    <row r="8" spans="1:4" x14ac:dyDescent="0.25">
      <c r="A8" t="s">
        <v>19</v>
      </c>
      <c r="B8">
        <v>100</v>
      </c>
      <c r="C8">
        <v>7756</v>
      </c>
      <c r="D8" s="8">
        <v>1.2893243940175347</v>
      </c>
    </row>
    <row r="9" spans="1:4" x14ac:dyDescent="0.25">
      <c r="A9" t="s">
        <v>20</v>
      </c>
      <c r="B9">
        <v>200</v>
      </c>
      <c r="C9">
        <v>5079</v>
      </c>
      <c r="D9" s="8">
        <v>3.9377830281551485</v>
      </c>
    </row>
    <row r="10" spans="1:4" x14ac:dyDescent="0.25">
      <c r="A10" t="s">
        <v>21</v>
      </c>
      <c r="B10">
        <v>150</v>
      </c>
      <c r="C10">
        <v>4132</v>
      </c>
      <c r="D10" s="8">
        <v>3.6302032913843174</v>
      </c>
    </row>
    <row r="11" spans="1:4" x14ac:dyDescent="0.25">
      <c r="A11" t="s">
        <v>22</v>
      </c>
      <c r="B11">
        <v>0</v>
      </c>
      <c r="C11">
        <v>1319</v>
      </c>
      <c r="D11" s="8">
        <v>0</v>
      </c>
    </row>
    <row r="12" spans="1:4" x14ac:dyDescent="0.25">
      <c r="A12" t="s">
        <v>23</v>
      </c>
      <c r="B12">
        <v>400</v>
      </c>
      <c r="C12">
        <v>17699</v>
      </c>
      <c r="D12" s="8">
        <v>2.2600146900954856</v>
      </c>
    </row>
    <row r="13" spans="1:4" x14ac:dyDescent="0.25">
      <c r="A13" t="s">
        <v>24</v>
      </c>
      <c r="B13">
        <v>50</v>
      </c>
      <c r="C13">
        <v>10880</v>
      </c>
      <c r="D13" s="8">
        <v>0.4595588235294118</v>
      </c>
    </row>
    <row r="14" spans="1:4" x14ac:dyDescent="0.25">
      <c r="A14" t="s">
        <v>25</v>
      </c>
      <c r="B14">
        <v>50</v>
      </c>
      <c r="C14">
        <v>15324</v>
      </c>
      <c r="D14" s="8">
        <v>0.32628556512659879</v>
      </c>
    </row>
    <row r="15" spans="1:4" x14ac:dyDescent="0.25">
      <c r="A15" t="s">
        <v>26</v>
      </c>
      <c r="B15">
        <v>800</v>
      </c>
      <c r="C15">
        <v>43183</v>
      </c>
      <c r="D15" s="8">
        <v>1.8525808767338998</v>
      </c>
    </row>
    <row r="16" spans="1:4" x14ac:dyDescent="0.25">
      <c r="A16" t="s">
        <v>27</v>
      </c>
      <c r="B16">
        <v>50</v>
      </c>
      <c r="C16">
        <v>6406</v>
      </c>
      <c r="D16" s="8">
        <v>0.78051826412738057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3461A-B3B6-4C00-AC36-476F8BBB5813}">
  <dimension ref="A1:B13"/>
  <sheetViews>
    <sheetView workbookViewId="0">
      <selection activeCell="B1" sqref="B1:B12"/>
    </sheetView>
  </sheetViews>
  <sheetFormatPr baseColWidth="10" defaultRowHeight="15.75" x14ac:dyDescent="0.25"/>
  <sheetData>
    <row r="1" spans="1:2" x14ac:dyDescent="0.25">
      <c r="A1" t="s">
        <v>4</v>
      </c>
      <c r="B1">
        <v>50</v>
      </c>
    </row>
    <row r="2" spans="1:2" x14ac:dyDescent="0.25">
      <c r="A2" t="s">
        <v>6</v>
      </c>
      <c r="B2">
        <v>250</v>
      </c>
    </row>
    <row r="3" spans="1:2" x14ac:dyDescent="0.25">
      <c r="A3" t="s">
        <v>17</v>
      </c>
      <c r="B3">
        <v>900</v>
      </c>
    </row>
    <row r="4" spans="1:2" x14ac:dyDescent="0.25">
      <c r="A4" t="s">
        <v>18</v>
      </c>
      <c r="B4">
        <v>400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200</v>
      </c>
    </row>
    <row r="7" spans="1:2" x14ac:dyDescent="0.25">
      <c r="A7" t="s">
        <v>21</v>
      </c>
      <c r="B7">
        <v>150</v>
      </c>
    </row>
    <row r="8" spans="1:2" x14ac:dyDescent="0.25">
      <c r="A8" t="s">
        <v>23</v>
      </c>
      <c r="B8">
        <v>400</v>
      </c>
    </row>
    <row r="9" spans="1:2" x14ac:dyDescent="0.25">
      <c r="A9" t="s">
        <v>24</v>
      </c>
      <c r="B9">
        <v>50</v>
      </c>
    </row>
    <row r="10" spans="1:2" x14ac:dyDescent="0.25">
      <c r="A10" t="s">
        <v>25</v>
      </c>
      <c r="B10">
        <v>50</v>
      </c>
    </row>
    <row r="11" spans="1:2" x14ac:dyDescent="0.25">
      <c r="A11" t="s">
        <v>26</v>
      </c>
      <c r="B11">
        <v>800</v>
      </c>
    </row>
    <row r="12" spans="1:2" x14ac:dyDescent="0.25">
      <c r="A12" t="s">
        <v>27</v>
      </c>
      <c r="B12">
        <v>50</v>
      </c>
    </row>
    <row r="13" spans="1:2" x14ac:dyDescent="0.25">
      <c r="B1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91658-1BB9-4E2C-A3EC-BD05A8471B01}">
  <dimension ref="A1:E9"/>
  <sheetViews>
    <sheetView topLeftCell="D1" workbookViewId="0">
      <selection activeCell="F15" sqref="F15"/>
    </sheetView>
  </sheetViews>
  <sheetFormatPr baseColWidth="10" defaultRowHeight="15.75" x14ac:dyDescent="0.25"/>
  <sheetData>
    <row r="1" spans="1:5" x14ac:dyDescent="0.25">
      <c r="A1" s="1"/>
      <c r="B1" s="1" t="s">
        <v>3</v>
      </c>
      <c r="C1" s="1" t="s">
        <v>2</v>
      </c>
      <c r="D1" s="1" t="s">
        <v>1</v>
      </c>
      <c r="E1" s="1" t="s">
        <v>0</v>
      </c>
    </row>
    <row r="2" spans="1:5" x14ac:dyDescent="0.25">
      <c r="A2" s="1">
        <v>2015</v>
      </c>
      <c r="B2" s="1">
        <v>0.7</v>
      </c>
      <c r="C2" s="1">
        <v>0.9</v>
      </c>
      <c r="D2" s="1"/>
      <c r="E2" s="1">
        <v>0.8</v>
      </c>
    </row>
    <row r="3" spans="1:5" x14ac:dyDescent="0.25">
      <c r="A3" s="1">
        <v>2016</v>
      </c>
      <c r="B3" s="1">
        <v>0.8</v>
      </c>
      <c r="C3" s="1">
        <v>1</v>
      </c>
      <c r="D3" s="1"/>
      <c r="E3" s="1">
        <v>1</v>
      </c>
    </row>
    <row r="4" spans="1:5" x14ac:dyDescent="0.25">
      <c r="A4" s="1">
        <v>2017</v>
      </c>
      <c r="B4" s="1">
        <v>1.1000000000000001</v>
      </c>
      <c r="C4" s="1">
        <v>1.1000000000000001</v>
      </c>
      <c r="D4" s="1"/>
      <c r="E4" s="1">
        <v>1.3</v>
      </c>
    </row>
    <row r="5" spans="1:5" x14ac:dyDescent="0.25">
      <c r="A5" s="1">
        <v>2018</v>
      </c>
      <c r="B5" s="1">
        <v>1.2</v>
      </c>
      <c r="C5" s="1">
        <v>1.4</v>
      </c>
      <c r="D5" s="1"/>
      <c r="E5" s="1">
        <v>1.7</v>
      </c>
    </row>
    <row r="6" spans="1:5" x14ac:dyDescent="0.25">
      <c r="A6" s="1">
        <v>2019</v>
      </c>
      <c r="B6" s="1"/>
      <c r="C6" s="1"/>
      <c r="D6" s="1">
        <v>2</v>
      </c>
      <c r="E6" s="1">
        <v>2.2000000000000002</v>
      </c>
    </row>
    <row r="7" spans="1:5" x14ac:dyDescent="0.25">
      <c r="A7" s="1">
        <v>2020</v>
      </c>
      <c r="B7" s="1"/>
      <c r="C7" s="1"/>
      <c r="D7" s="1">
        <v>2.2999999999999998</v>
      </c>
      <c r="E7" s="1">
        <v>1.9</v>
      </c>
    </row>
    <row r="8" spans="1:5" x14ac:dyDescent="0.25">
      <c r="A8" s="1">
        <v>2021</v>
      </c>
      <c r="B8" s="1"/>
      <c r="C8" s="1"/>
      <c r="D8" s="1">
        <v>1.7</v>
      </c>
      <c r="E8" s="1">
        <v>1.7</v>
      </c>
    </row>
    <row r="9" spans="1:5" x14ac:dyDescent="0.25">
      <c r="A9" s="9">
        <v>2022</v>
      </c>
      <c r="D9" s="9">
        <v>2.9</v>
      </c>
      <c r="E9" s="9">
        <v>2.5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Vestfold Telemark fylkeskommune" insertAfterMso="TabHome">
        <group id="customGroup" label="Formatering">
          <button id="customButton1" label="Formater Nummer" size="large" onAction="FormaterNummer"/>
          <button id="chartform" label="Formater Graf" size="large" imageMso="ChartRefresh" onAction="FormatCha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Stramhetsindikator</vt:lpstr>
      <vt:lpstr>Est. mangel per næring</vt:lpstr>
      <vt:lpstr>viz 2022 tabell</vt:lpstr>
      <vt:lpstr>viz - tabell str.nær. 2021 VT</vt:lpstr>
      <vt:lpstr>viz - mangel per næring VT</vt:lpstr>
      <vt:lpstr>viz - stramhetsindikator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Erling Kielland Servoll</dc:creator>
  <cp:lastModifiedBy>Erling Kielland Servoll</cp:lastModifiedBy>
  <dcterms:created xsi:type="dcterms:W3CDTF">2019-10-23T07:50:21Z</dcterms:created>
  <dcterms:modified xsi:type="dcterms:W3CDTF">2022-06-15T06:46:54Z</dcterms:modified>
</cp:coreProperties>
</file>