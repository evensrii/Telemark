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asSperre\Downloads\"/>
    </mc:Choice>
  </mc:AlternateContent>
  <xr:revisionPtr revIDLastSave="0" documentId="13_ncr:1_{A60CC956-BB3A-41A9-8AE1-158A7990E46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  <c r="D44" i="1"/>
  <c r="C44" i="1"/>
  <c r="B44" i="1"/>
  <c r="G37" i="1"/>
  <c r="F37" i="1"/>
  <c r="E37" i="1"/>
  <c r="D37" i="1"/>
  <c r="D59" i="1" s="1"/>
  <c r="C37" i="1"/>
  <c r="B37" i="1"/>
  <c r="B13" i="1"/>
  <c r="G13" i="1"/>
  <c r="F13" i="1"/>
  <c r="E13" i="1"/>
  <c r="D13" i="1"/>
  <c r="C13" i="1"/>
  <c r="G25" i="1"/>
  <c r="F25" i="1"/>
  <c r="E25" i="1"/>
  <c r="E59" i="1" s="1"/>
  <c r="D25" i="1"/>
  <c r="C25" i="1"/>
  <c r="C59" i="1" s="1"/>
  <c r="B25" i="1"/>
  <c r="F59" i="1"/>
  <c r="G59" i="1" l="1"/>
  <c r="B59" i="1"/>
</calcChain>
</file>

<file path=xl/sharedStrings.xml><?xml version="1.0" encoding="utf-8"?>
<sst xmlns="http://schemas.openxmlformats.org/spreadsheetml/2006/main" count="81" uniqueCount="19">
  <si>
    <t>År</t>
  </si>
  <si>
    <t>Stasjon</t>
  </si>
  <si>
    <t>Antall av- og påstigninger</t>
  </si>
  <si>
    <t>Bø</t>
  </si>
  <si>
    <t>Drangedal</t>
  </si>
  <si>
    <t>Lunde</t>
  </si>
  <si>
    <t>Neslandsvatn</t>
  </si>
  <si>
    <t>Nisterud</t>
  </si>
  <si>
    <t>Nordagutu</t>
  </si>
  <si>
    <t>Notodden</t>
  </si>
  <si>
    <t>Porsgrunn</t>
  </si>
  <si>
    <t>Skien</t>
  </si>
  <si>
    <t>Trykkerud</t>
  </si>
  <si>
    <t>Total</t>
  </si>
  <si>
    <t>Porsgrunn - Notodden</t>
  </si>
  <si>
    <t>Skien - Eidsvoll</t>
  </si>
  <si>
    <t>Oslo - Stavanger</t>
  </si>
  <si>
    <t>Andre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</si>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</sst>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2" fillId="0" borderId="0" xfId="0" applyFont="1" applyBorder="1" applyAlignme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3" xfId="0" applyFont="1" applyBorder="1"/>
    <xf numFmtId="3" fontId="0" fillId="0" borderId="3" xfId="0" applyNumberFormat="1" applyBorder="1"/>
    <xf numFmtId="0" fontId="0" fillId="0" borderId="2" xfId="0" applyFill="1" applyBorder="1"/>
  </cellXfs>
  <cellStyles count="2">
    <cellStyle name="Normal" xfId="0" builtinId="0"/>
    <cellStyle name="Normal 2" xfId="1" xr:uid="{5A557C0C-3450-4CC6-A4E8-44A32CFE2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16" zoomScale="85" zoomScaleNormal="85" workbookViewId="0">
      <selection activeCell="G55" sqref="G55:G56"/>
    </sheetView>
  </sheetViews>
  <sheetFormatPr defaultRowHeight="15" x14ac:dyDescent="0.25"/>
  <cols>
    <col min="1" max="1" width="13.28515625" bestFit="1" customWidth="1"/>
    <col min="2" max="7" width="23.7109375" bestFit="1" customWidth="1"/>
    <col min="12" max="12" width="20.7109375" bestFit="1" customWidth="1"/>
    <col min="13" max="18" width="23.7109375" bestFit="1" customWidth="1"/>
  </cols>
  <sheetData>
    <row r="1" spans="1:8" x14ac:dyDescent="0.25">
      <c r="A1" s="4" t="s">
        <v>0</v>
      </c>
      <c r="B1" s="5">
        <v>2019</v>
      </c>
      <c r="C1" s="5">
        <v>2020</v>
      </c>
      <c r="D1" s="5">
        <v>2021</v>
      </c>
      <c r="E1" s="5">
        <v>2022</v>
      </c>
      <c r="F1" s="5">
        <v>2023</v>
      </c>
      <c r="G1" s="5">
        <v>2024</v>
      </c>
    </row>
    <row r="2" spans="1:8" x14ac:dyDescent="0.25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</row>
    <row r="3" spans="1:8" x14ac:dyDescent="0.25">
      <c r="A3" s="2" t="s">
        <v>3</v>
      </c>
      <c r="B3" s="6">
        <v>116330</v>
      </c>
      <c r="C3" s="6">
        <v>58613</v>
      </c>
      <c r="D3" s="6">
        <v>54025</v>
      </c>
      <c r="E3" s="6">
        <v>92793</v>
      </c>
      <c r="F3" s="6">
        <v>101607</v>
      </c>
      <c r="G3" s="6">
        <v>104240</v>
      </c>
    </row>
    <row r="4" spans="1:8" x14ac:dyDescent="0.25">
      <c r="A4" s="2" t="s">
        <v>4</v>
      </c>
      <c r="B4" s="6">
        <v>34170</v>
      </c>
      <c r="C4" s="6">
        <v>10792</v>
      </c>
      <c r="D4" s="6">
        <v>17660</v>
      </c>
      <c r="E4" s="6">
        <v>30048</v>
      </c>
      <c r="F4" s="6">
        <v>35517</v>
      </c>
      <c r="G4" s="6">
        <v>38680</v>
      </c>
    </row>
    <row r="5" spans="1:8" x14ac:dyDescent="0.25">
      <c r="A5" s="2" t="s">
        <v>5</v>
      </c>
      <c r="B5" s="6">
        <v>25274</v>
      </c>
      <c r="C5" s="6">
        <v>8416</v>
      </c>
      <c r="D5" s="6">
        <v>13229</v>
      </c>
      <c r="E5" s="6">
        <v>25423</v>
      </c>
      <c r="F5" s="6">
        <v>31659</v>
      </c>
      <c r="G5" s="6">
        <v>30980</v>
      </c>
    </row>
    <row r="6" spans="1:8" x14ac:dyDescent="0.25">
      <c r="A6" s="2" t="s">
        <v>6</v>
      </c>
      <c r="B6" s="6">
        <v>12457</v>
      </c>
      <c r="C6" s="6">
        <v>6328</v>
      </c>
      <c r="D6" s="6">
        <v>5766</v>
      </c>
      <c r="E6" s="6">
        <v>10120</v>
      </c>
      <c r="F6" s="6">
        <v>10963</v>
      </c>
      <c r="G6" s="6">
        <v>11276</v>
      </c>
    </row>
    <row r="7" spans="1:8" x14ac:dyDescent="0.25">
      <c r="A7" s="2" t="s">
        <v>7</v>
      </c>
      <c r="B7" s="6">
        <v>271</v>
      </c>
      <c r="C7" s="6">
        <v>236</v>
      </c>
      <c r="D7" s="6">
        <v>865</v>
      </c>
      <c r="E7" s="6">
        <v>567.755</v>
      </c>
      <c r="F7" s="6">
        <v>891.67210000000023</v>
      </c>
      <c r="G7" s="6">
        <v>614.20990000000006</v>
      </c>
    </row>
    <row r="8" spans="1:8" x14ac:dyDescent="0.25">
      <c r="A8" s="2" t="s">
        <v>8</v>
      </c>
      <c r="B8" s="6">
        <v>29456</v>
      </c>
      <c r="C8" s="6">
        <v>18854</v>
      </c>
      <c r="D8" s="6">
        <v>40012</v>
      </c>
      <c r="E8" s="6">
        <v>29744.229599999999</v>
      </c>
      <c r="F8" s="6">
        <v>27345.198000000004</v>
      </c>
      <c r="G8" s="6">
        <v>19797.7189</v>
      </c>
    </row>
    <row r="9" spans="1:8" x14ac:dyDescent="0.25">
      <c r="A9" s="2" t="s">
        <v>9</v>
      </c>
      <c r="B9" s="6">
        <v>40167</v>
      </c>
      <c r="C9" s="6">
        <v>31154</v>
      </c>
      <c r="D9" s="6">
        <v>3533</v>
      </c>
      <c r="E9" s="6">
        <v>17646.549799999997</v>
      </c>
      <c r="F9" s="6">
        <v>37872.58110000001</v>
      </c>
      <c r="G9" s="6">
        <v>49173.161500000002</v>
      </c>
    </row>
    <row r="10" spans="1:8" x14ac:dyDescent="0.25">
      <c r="A10" s="2" t="s">
        <v>10</v>
      </c>
      <c r="B10" s="6">
        <v>318573</v>
      </c>
      <c r="C10" s="6">
        <v>195326</v>
      </c>
      <c r="D10" s="6">
        <v>173584</v>
      </c>
      <c r="E10" s="6">
        <v>335909.4607</v>
      </c>
      <c r="F10" s="6">
        <v>444156.00939999998</v>
      </c>
      <c r="G10" s="6">
        <v>493872.66999999993</v>
      </c>
    </row>
    <row r="11" spans="1:8" x14ac:dyDescent="0.25">
      <c r="A11" s="2" t="s">
        <v>11</v>
      </c>
      <c r="B11" s="6">
        <v>242184</v>
      </c>
      <c r="C11" s="6">
        <v>172093</v>
      </c>
      <c r="D11" s="6">
        <v>150794</v>
      </c>
      <c r="E11" s="6">
        <v>243401.61050000001</v>
      </c>
      <c r="F11" s="6">
        <v>323179.77370000008</v>
      </c>
      <c r="G11" s="6">
        <v>421256.40739999991</v>
      </c>
    </row>
    <row r="12" spans="1:8" x14ac:dyDescent="0.25">
      <c r="A12" s="2" t="s">
        <v>12</v>
      </c>
      <c r="B12" s="6">
        <v>173</v>
      </c>
      <c r="C12" s="6">
        <v>120</v>
      </c>
      <c r="D12" s="6">
        <v>970</v>
      </c>
      <c r="E12" s="6">
        <v>387.21629999999999</v>
      </c>
      <c r="F12" s="6">
        <v>1009.8286000000002</v>
      </c>
      <c r="G12" s="6">
        <v>583.91989999999998</v>
      </c>
    </row>
    <row r="13" spans="1:8" x14ac:dyDescent="0.25">
      <c r="A13" s="3" t="s">
        <v>13</v>
      </c>
      <c r="B13" s="7">
        <f>SUM(B3:B12)</f>
        <v>819055</v>
      </c>
      <c r="C13" s="36">
        <f t="shared" ref="C13:G13" si="0">SUM(C3:C12)</f>
        <v>501932</v>
      </c>
      <c r="D13" s="36">
        <f t="shared" si="0"/>
        <v>460438</v>
      </c>
      <c r="E13" s="36">
        <f t="shared" si="0"/>
        <v>786040.82189999986</v>
      </c>
      <c r="F13" s="36">
        <f t="shared" si="0"/>
        <v>1014201.0629000001</v>
      </c>
      <c r="G13" s="36">
        <f t="shared" si="0"/>
        <v>1170474.0876</v>
      </c>
    </row>
    <row r="16" spans="1:8" x14ac:dyDescent="0.25">
      <c r="A16" s="15"/>
      <c r="B16" s="15"/>
      <c r="C16" s="15"/>
      <c r="D16" s="15"/>
      <c r="E16" s="15"/>
      <c r="F16" s="15"/>
      <c r="G16" s="15"/>
      <c r="H16" s="15"/>
    </row>
    <row r="17" spans="1:8" x14ac:dyDescent="0.25">
      <c r="A17" s="37" t="s">
        <v>16</v>
      </c>
      <c r="B17" s="37"/>
      <c r="C17" s="37"/>
      <c r="D17" s="37"/>
      <c r="E17" s="37"/>
      <c r="F17" s="37"/>
      <c r="G17" s="37"/>
    </row>
    <row r="18" spans="1:8" x14ac:dyDescent="0.25">
      <c r="A18" s="11" t="s">
        <v>0</v>
      </c>
      <c r="B18" s="12">
        <v>2019</v>
      </c>
      <c r="C18" s="12">
        <v>2020</v>
      </c>
      <c r="D18" s="12">
        <v>2021</v>
      </c>
      <c r="E18" s="12">
        <v>2022</v>
      </c>
      <c r="F18" s="12">
        <v>2023</v>
      </c>
      <c r="G18" s="12">
        <v>2024</v>
      </c>
    </row>
    <row r="19" spans="1:8" x14ac:dyDescent="0.25">
      <c r="A19" s="8" t="s">
        <v>1</v>
      </c>
      <c r="B19" s="8" t="s">
        <v>2</v>
      </c>
      <c r="C19" s="8" t="s">
        <v>2</v>
      </c>
      <c r="D19" s="8" t="s">
        <v>2</v>
      </c>
      <c r="E19" s="8" t="s">
        <v>2</v>
      </c>
      <c r="F19" s="8" t="s">
        <v>2</v>
      </c>
      <c r="G19" s="8" t="s">
        <v>2</v>
      </c>
    </row>
    <row r="20" spans="1:8" x14ac:dyDescent="0.25">
      <c r="A20" s="9" t="s">
        <v>3</v>
      </c>
      <c r="B20" s="13">
        <v>116322</v>
      </c>
      <c r="C20" s="13">
        <v>57978</v>
      </c>
      <c r="D20" s="13">
        <v>53352</v>
      </c>
      <c r="E20" s="13">
        <v>92176</v>
      </c>
      <c r="F20" s="13">
        <v>101607</v>
      </c>
      <c r="G20" s="13">
        <v>104240</v>
      </c>
    </row>
    <row r="21" spans="1:8" x14ac:dyDescent="0.25">
      <c r="A21" s="9" t="s">
        <v>4</v>
      </c>
      <c r="B21" s="13">
        <v>34170</v>
      </c>
      <c r="C21" s="13">
        <v>10678</v>
      </c>
      <c r="D21" s="13">
        <v>17549</v>
      </c>
      <c r="E21" s="13">
        <v>29976</v>
      </c>
      <c r="F21" s="13">
        <v>35517</v>
      </c>
      <c r="G21" s="13">
        <v>38680</v>
      </c>
    </row>
    <row r="22" spans="1:8" x14ac:dyDescent="0.25">
      <c r="A22" s="9" t="s">
        <v>5</v>
      </c>
      <c r="B22" s="13">
        <v>25267</v>
      </c>
      <c r="C22" s="13">
        <v>8375</v>
      </c>
      <c r="D22" s="13">
        <v>13189</v>
      </c>
      <c r="E22" s="13">
        <v>25387</v>
      </c>
      <c r="F22" s="13">
        <v>31659</v>
      </c>
      <c r="G22" s="13">
        <v>30980</v>
      </c>
    </row>
    <row r="23" spans="1:8" x14ac:dyDescent="0.25">
      <c r="A23" s="9" t="s">
        <v>6</v>
      </c>
      <c r="B23" s="13">
        <v>12456</v>
      </c>
      <c r="C23" s="13">
        <v>6313</v>
      </c>
      <c r="D23" s="13">
        <v>5759</v>
      </c>
      <c r="E23" s="13">
        <v>10113</v>
      </c>
      <c r="F23" s="13">
        <v>10963</v>
      </c>
      <c r="G23" s="13">
        <v>11276</v>
      </c>
      <c r="H23" s="15"/>
    </row>
    <row r="24" spans="1:8" x14ac:dyDescent="0.25">
      <c r="A24" s="9" t="s">
        <v>8</v>
      </c>
      <c r="B24" s="13">
        <v>20109</v>
      </c>
      <c r="C24" s="13">
        <v>12269</v>
      </c>
      <c r="D24" s="13">
        <v>10927</v>
      </c>
      <c r="E24" s="13">
        <v>15814</v>
      </c>
      <c r="F24" s="13">
        <v>16323</v>
      </c>
      <c r="G24" s="13">
        <v>12358</v>
      </c>
    </row>
    <row r="25" spans="1:8" x14ac:dyDescent="0.25">
      <c r="A25" s="10" t="s">
        <v>13</v>
      </c>
      <c r="B25" s="14">
        <f>SUM(B20:B24)</f>
        <v>208324</v>
      </c>
      <c r="C25" s="36">
        <f>SUM(C20:C24)</f>
        <v>95613</v>
      </c>
      <c r="D25" s="36">
        <f>SUM(D20:D24)</f>
        <v>100776</v>
      </c>
      <c r="E25" s="36">
        <f>SUM(E20:E24)</f>
        <v>173466</v>
      </c>
      <c r="F25" s="36">
        <f>SUM(F20:F24)</f>
        <v>196069</v>
      </c>
      <c r="G25" s="36">
        <f>SUM(G20:G24)</f>
        <v>197534</v>
      </c>
    </row>
    <row r="28" spans="1:8" x14ac:dyDescent="0.25">
      <c r="A28" s="38" t="s">
        <v>14</v>
      </c>
      <c r="B28" s="38"/>
      <c r="C28" s="38"/>
      <c r="D28" s="38"/>
      <c r="E28" s="38"/>
      <c r="F28" s="38"/>
      <c r="G28" s="38"/>
    </row>
    <row r="29" spans="1:8" x14ac:dyDescent="0.25">
      <c r="A29" s="19" t="s">
        <v>0</v>
      </c>
      <c r="B29" s="20">
        <v>2019</v>
      </c>
      <c r="C29" s="20">
        <v>2020</v>
      </c>
      <c r="D29" s="20">
        <v>2021</v>
      </c>
      <c r="E29" s="20">
        <v>2022</v>
      </c>
      <c r="F29" s="20">
        <v>2023</v>
      </c>
      <c r="G29" s="20">
        <v>2024</v>
      </c>
    </row>
    <row r="30" spans="1:8" x14ac:dyDescent="0.25">
      <c r="A30" s="16" t="s">
        <v>1</v>
      </c>
      <c r="B30" s="16" t="s">
        <v>2</v>
      </c>
      <c r="C30" s="16" t="s">
        <v>2</v>
      </c>
      <c r="D30" s="16" t="s">
        <v>2</v>
      </c>
      <c r="E30" s="16" t="s">
        <v>2</v>
      </c>
      <c r="F30" s="16" t="s">
        <v>2</v>
      </c>
      <c r="G30" s="16" t="s">
        <v>2</v>
      </c>
    </row>
    <row r="31" spans="1:8" x14ac:dyDescent="0.25">
      <c r="A31" s="17" t="s">
        <v>7</v>
      </c>
      <c r="B31" s="21">
        <v>271</v>
      </c>
      <c r="C31" s="21">
        <v>236</v>
      </c>
      <c r="D31" s="21">
        <v>865</v>
      </c>
      <c r="E31" s="21">
        <v>567.755</v>
      </c>
      <c r="F31" s="21">
        <v>891.6721</v>
      </c>
      <c r="G31" s="21">
        <v>614.20990000000006</v>
      </c>
    </row>
    <row r="32" spans="1:8" x14ac:dyDescent="0.25">
      <c r="A32" s="17" t="s">
        <v>8</v>
      </c>
      <c r="B32" s="21">
        <v>9345</v>
      </c>
      <c r="C32" s="21">
        <v>6400</v>
      </c>
      <c r="D32" s="21">
        <v>28921</v>
      </c>
      <c r="E32" s="21">
        <v>13827.229600000001</v>
      </c>
      <c r="F32" s="21">
        <v>11022.197999999999</v>
      </c>
      <c r="G32" s="21">
        <v>7439.7188999999998</v>
      </c>
    </row>
    <row r="33" spans="1:7" x14ac:dyDescent="0.25">
      <c r="A33" s="17" t="s">
        <v>9</v>
      </c>
      <c r="B33" s="21">
        <v>40167</v>
      </c>
      <c r="C33" s="21">
        <v>31154</v>
      </c>
      <c r="D33" s="21">
        <v>3529</v>
      </c>
      <c r="E33" s="21">
        <v>17643.549800000001</v>
      </c>
      <c r="F33" s="21">
        <v>37872.581099999996</v>
      </c>
      <c r="G33" s="21">
        <v>49173.161499999995</v>
      </c>
    </row>
    <row r="34" spans="1:7" x14ac:dyDescent="0.25">
      <c r="A34" s="17" t="s">
        <v>10</v>
      </c>
      <c r="B34" s="21">
        <v>26910</v>
      </c>
      <c r="C34" s="21">
        <v>16187</v>
      </c>
      <c r="D34" s="21">
        <v>21649</v>
      </c>
      <c r="E34" s="21">
        <v>14362</v>
      </c>
      <c r="F34" s="21">
        <v>18331.164399999994</v>
      </c>
      <c r="G34" s="21">
        <v>21795.496199999998</v>
      </c>
    </row>
    <row r="35" spans="1:7" x14ac:dyDescent="0.25">
      <c r="A35" s="17" t="s">
        <v>11</v>
      </c>
      <c r="B35" s="21">
        <v>21203</v>
      </c>
      <c r="C35" s="21">
        <v>21065</v>
      </c>
      <c r="D35" s="21">
        <v>23322</v>
      </c>
      <c r="E35" s="21">
        <v>21430.610500000003</v>
      </c>
      <c r="F35" s="21">
        <v>28525.879199999996</v>
      </c>
      <c r="G35" s="21">
        <v>34617.423799999997</v>
      </c>
    </row>
    <row r="36" spans="1:7" x14ac:dyDescent="0.25">
      <c r="A36" s="17" t="s">
        <v>12</v>
      </c>
      <c r="B36" s="21">
        <v>173</v>
      </c>
      <c r="C36" s="21">
        <v>120</v>
      </c>
      <c r="D36" s="21">
        <v>970</v>
      </c>
      <c r="E36" s="21">
        <v>387.21630000000005</v>
      </c>
      <c r="F36" s="21">
        <v>1009.8285999999999</v>
      </c>
      <c r="G36" s="21">
        <v>583.9199000000001</v>
      </c>
    </row>
    <row r="37" spans="1:7" x14ac:dyDescent="0.25">
      <c r="A37" s="18" t="s">
        <v>13</v>
      </c>
      <c r="B37" s="22">
        <f>SUM(B31:B36)</f>
        <v>98069</v>
      </c>
      <c r="C37" s="36">
        <f t="shared" ref="C37:G37" si="1">SUM(C31:C36)</f>
        <v>75162</v>
      </c>
      <c r="D37" s="36">
        <f t="shared" si="1"/>
        <v>79256</v>
      </c>
      <c r="E37" s="36">
        <f t="shared" si="1"/>
        <v>68218.361200000014</v>
      </c>
      <c r="F37" s="36">
        <f t="shared" si="1"/>
        <v>97653.323399999979</v>
      </c>
      <c r="G37" s="36">
        <f t="shared" si="1"/>
        <v>114223.93019999999</v>
      </c>
    </row>
    <row r="39" spans="1:7" x14ac:dyDescent="0.25">
      <c r="A39" s="38" t="s">
        <v>15</v>
      </c>
      <c r="B39" s="38"/>
      <c r="C39" s="38"/>
      <c r="D39" s="38"/>
      <c r="E39" s="38"/>
      <c r="F39" s="38"/>
      <c r="G39" s="38"/>
    </row>
    <row r="40" spans="1:7" x14ac:dyDescent="0.25">
      <c r="A40" s="26" t="s">
        <v>0</v>
      </c>
      <c r="B40" s="27">
        <v>2019</v>
      </c>
      <c r="C40" s="27">
        <v>2020</v>
      </c>
      <c r="D40" s="27">
        <v>2021</v>
      </c>
      <c r="E40" s="27">
        <v>2022</v>
      </c>
      <c r="F40" s="27">
        <v>2023</v>
      </c>
      <c r="G40" s="27">
        <v>2024</v>
      </c>
    </row>
    <row r="41" spans="1:7" x14ac:dyDescent="0.25">
      <c r="A41" s="23" t="s">
        <v>1</v>
      </c>
      <c r="B41" s="23" t="s">
        <v>2</v>
      </c>
      <c r="C41" s="23" t="s">
        <v>2</v>
      </c>
      <c r="D41" s="23" t="s">
        <v>2</v>
      </c>
      <c r="E41" s="23" t="s">
        <v>2</v>
      </c>
      <c r="F41" s="23" t="s">
        <v>2</v>
      </c>
      <c r="G41" s="23" t="s">
        <v>2</v>
      </c>
    </row>
    <row r="42" spans="1:7" x14ac:dyDescent="0.25">
      <c r="A42" s="24" t="s">
        <v>10</v>
      </c>
      <c r="B42" s="28">
        <v>291603</v>
      </c>
      <c r="C42" s="28">
        <v>179134</v>
      </c>
      <c r="D42" s="28">
        <v>151838</v>
      </c>
      <c r="E42" s="28">
        <v>321430.4607</v>
      </c>
      <c r="F42" s="28">
        <v>425527.84500000003</v>
      </c>
      <c r="G42" s="28">
        <v>462964.38390000007</v>
      </c>
    </row>
    <row r="43" spans="1:7" x14ac:dyDescent="0.25">
      <c r="A43" s="24" t="s">
        <v>11</v>
      </c>
      <c r="B43" s="28">
        <v>220938</v>
      </c>
      <c r="C43" s="28">
        <v>151023</v>
      </c>
      <c r="D43" s="28">
        <v>127373</v>
      </c>
      <c r="E43" s="28">
        <v>221848</v>
      </c>
      <c r="F43" s="28">
        <v>294551.89450000005</v>
      </c>
      <c r="G43" s="28">
        <v>379850.28370000009</v>
      </c>
    </row>
    <row r="44" spans="1:7" x14ac:dyDescent="0.25">
      <c r="A44" s="25" t="s">
        <v>13</v>
      </c>
      <c r="B44" s="29">
        <f>SUM(B42:B43)</f>
        <v>512541</v>
      </c>
      <c r="C44" s="36">
        <f t="shared" ref="C44:G44" si="2">SUM(C42:C43)</f>
        <v>330157</v>
      </c>
      <c r="D44" s="36">
        <f t="shared" si="2"/>
        <v>279211</v>
      </c>
      <c r="E44" s="36">
        <f t="shared" si="2"/>
        <v>543278.46069999994</v>
      </c>
      <c r="F44" s="36">
        <f t="shared" si="2"/>
        <v>720079.73950000014</v>
      </c>
      <c r="G44" s="36">
        <f t="shared" si="2"/>
        <v>842814.66760000016</v>
      </c>
    </row>
    <row r="46" spans="1:7" x14ac:dyDescent="0.25">
      <c r="A46" s="38" t="s">
        <v>17</v>
      </c>
      <c r="B46" s="38"/>
      <c r="C46" s="38"/>
      <c r="D46" s="38"/>
      <c r="E46" s="38"/>
      <c r="F46" s="38"/>
      <c r="G46" s="38"/>
    </row>
    <row r="47" spans="1:7" x14ac:dyDescent="0.25">
      <c r="A47" s="33" t="s">
        <v>0</v>
      </c>
      <c r="B47" s="34">
        <v>2019</v>
      </c>
      <c r="C47" s="34">
        <v>2020</v>
      </c>
      <c r="D47" s="34">
        <v>2021</v>
      </c>
      <c r="E47" s="34">
        <v>2022</v>
      </c>
      <c r="F47" s="34">
        <v>2023</v>
      </c>
      <c r="G47" s="34">
        <v>2024</v>
      </c>
    </row>
    <row r="48" spans="1:7" x14ac:dyDescent="0.25">
      <c r="A48" s="30" t="s">
        <v>1</v>
      </c>
      <c r="B48" s="30" t="s">
        <v>2</v>
      </c>
      <c r="C48" s="30" t="s">
        <v>2</v>
      </c>
      <c r="D48" s="30" t="s">
        <v>2</v>
      </c>
      <c r="E48" s="30" t="s">
        <v>2</v>
      </c>
      <c r="F48" s="30" t="s">
        <v>2</v>
      </c>
      <c r="G48" s="30" t="s">
        <v>2</v>
      </c>
    </row>
    <row r="49" spans="1:7" x14ac:dyDescent="0.25">
      <c r="A49" s="31" t="s">
        <v>3</v>
      </c>
      <c r="B49" s="35">
        <v>8</v>
      </c>
      <c r="C49" s="35">
        <v>635</v>
      </c>
      <c r="D49" s="35">
        <v>673</v>
      </c>
      <c r="E49" s="35">
        <v>617</v>
      </c>
      <c r="F49" s="35">
        <v>0</v>
      </c>
      <c r="G49" s="35">
        <v>0</v>
      </c>
    </row>
    <row r="50" spans="1:7" x14ac:dyDescent="0.25">
      <c r="A50" s="31" t="s">
        <v>4</v>
      </c>
      <c r="B50" s="35">
        <v>0</v>
      </c>
      <c r="C50" s="35">
        <v>114</v>
      </c>
      <c r="D50" s="35">
        <v>111</v>
      </c>
      <c r="E50" s="35">
        <v>72</v>
      </c>
      <c r="F50" s="35">
        <v>0</v>
      </c>
      <c r="G50" s="35">
        <v>0</v>
      </c>
    </row>
    <row r="51" spans="1:7" x14ac:dyDescent="0.25">
      <c r="A51" s="31" t="s">
        <v>5</v>
      </c>
      <c r="B51" s="35">
        <v>7</v>
      </c>
      <c r="C51" s="35">
        <v>41</v>
      </c>
      <c r="D51" s="35">
        <v>40</v>
      </c>
      <c r="E51" s="35">
        <v>36</v>
      </c>
      <c r="F51" s="35">
        <v>0</v>
      </c>
      <c r="G51" s="35">
        <v>0</v>
      </c>
    </row>
    <row r="52" spans="1:7" x14ac:dyDescent="0.25">
      <c r="A52" s="31" t="s">
        <v>6</v>
      </c>
      <c r="B52" s="35">
        <v>1</v>
      </c>
      <c r="C52" s="35">
        <v>15</v>
      </c>
      <c r="D52" s="35">
        <v>7</v>
      </c>
      <c r="E52" s="35">
        <v>7</v>
      </c>
      <c r="F52" s="35">
        <v>0</v>
      </c>
      <c r="G52" s="35">
        <v>0</v>
      </c>
    </row>
    <row r="53" spans="1:7" x14ac:dyDescent="0.25">
      <c r="A53" s="41" t="s">
        <v>9</v>
      </c>
      <c r="B53" s="35">
        <v>0</v>
      </c>
      <c r="C53" s="35">
        <v>0</v>
      </c>
      <c r="D53" s="35">
        <v>4</v>
      </c>
      <c r="E53" s="35">
        <v>3</v>
      </c>
      <c r="F53" s="35">
        <v>0</v>
      </c>
      <c r="G53" s="35">
        <v>0</v>
      </c>
    </row>
    <row r="54" spans="1:7" x14ac:dyDescent="0.25">
      <c r="A54" s="31" t="s">
        <v>8</v>
      </c>
      <c r="B54" s="35">
        <v>2</v>
      </c>
      <c r="C54" s="35">
        <v>185</v>
      </c>
      <c r="D54" s="35">
        <v>164</v>
      </c>
      <c r="E54" s="35">
        <v>103</v>
      </c>
      <c r="F54" s="35">
        <v>0</v>
      </c>
      <c r="G54" s="35">
        <v>0</v>
      </c>
    </row>
    <row r="55" spans="1:7" x14ac:dyDescent="0.25">
      <c r="A55" s="31" t="s">
        <v>10</v>
      </c>
      <c r="B55" s="35">
        <v>60</v>
      </c>
      <c r="C55" s="35">
        <v>5</v>
      </c>
      <c r="D55" s="35">
        <v>97</v>
      </c>
      <c r="E55" s="35">
        <v>117</v>
      </c>
      <c r="F55" s="35">
        <v>297</v>
      </c>
      <c r="G55" s="35">
        <v>9112.7898999999961</v>
      </c>
    </row>
    <row r="56" spans="1:7" x14ac:dyDescent="0.25">
      <c r="A56" s="31" t="s">
        <v>11</v>
      </c>
      <c r="B56" s="35">
        <v>43</v>
      </c>
      <c r="C56" s="35">
        <v>5</v>
      </c>
      <c r="D56" s="35">
        <v>99</v>
      </c>
      <c r="E56" s="35">
        <v>123</v>
      </c>
      <c r="F56" s="35">
        <v>102</v>
      </c>
      <c r="G56" s="35">
        <v>6788.6999000000023</v>
      </c>
    </row>
    <row r="57" spans="1:7" x14ac:dyDescent="0.25">
      <c r="A57" s="32" t="s">
        <v>13</v>
      </c>
      <c r="B57" s="36">
        <v>121</v>
      </c>
      <c r="C57" s="36">
        <v>1000</v>
      </c>
      <c r="D57" s="36">
        <v>1195</v>
      </c>
      <c r="E57" s="36">
        <v>1078</v>
      </c>
      <c r="F57" s="36">
        <v>399</v>
      </c>
      <c r="G57" s="36">
        <v>15901.489799999999</v>
      </c>
    </row>
    <row r="59" spans="1:7" x14ac:dyDescent="0.25">
      <c r="A59" s="39" t="s">
        <v>18</v>
      </c>
      <c r="B59" s="40">
        <f>B57+B44+B37+B25</f>
        <v>819055</v>
      </c>
      <c r="C59" s="40">
        <f>C57+C44+C37+C25</f>
        <v>501932</v>
      </c>
      <c r="D59" s="40">
        <f>D57+D44+D37+D25</f>
        <v>460438</v>
      </c>
      <c r="E59" s="40">
        <f>E57+E44+E37+E25</f>
        <v>786040.82189999998</v>
      </c>
      <c r="F59" s="40">
        <f>F57+F44+F37+F25</f>
        <v>1014201.0629000001</v>
      </c>
      <c r="G59" s="40">
        <f>G57+G44+G37+G25</f>
        <v>1170474.0876000002</v>
      </c>
    </row>
    <row r="60" spans="1:7" x14ac:dyDescent="0.25">
      <c r="B60" s="35"/>
      <c r="C60" s="35"/>
      <c r="D60" s="35"/>
      <c r="E60" s="35"/>
      <c r="F60" s="35"/>
      <c r="G60" s="35"/>
    </row>
  </sheetData>
  <mergeCells count="4">
    <mergeCell ref="A39:G39"/>
    <mergeCell ref="A46:G46"/>
    <mergeCell ref="A17:G17"/>
    <mergeCell ref="A28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modified xsi:type="dcterms:W3CDTF">2025-11-14T13:49:48Z</dcterms:modified>
</cp:coreProperties>
</file>