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Egne applikasjoner/Flytting/"/>
    </mc:Choice>
  </mc:AlternateContent>
  <xr:revisionPtr revIDLastSave="16" documentId="8_{2EF9139E-5A99-4B85-86F9-80EE34F0C78E}" xr6:coauthVersionLast="47" xr6:coauthVersionMax="47" xr10:uidLastSave="{6E97DF34-45F6-4149-A6EF-D008BDCDAB4E}"/>
  <bookViews>
    <workbookView xWindow="19740" yWindow="0" windowWidth="37290" windowHeight="20880" activeTab="2" xr2:uid="{00000000-000D-0000-FFFF-FFFF00000000}"/>
  </bookViews>
  <sheets>
    <sheet name="Til kommunene" sheetId="2" r:id="rId1"/>
    <sheet name="Fra kommunene" sheetId="3" r:id="rId2"/>
    <sheet name="Samle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4" l="1"/>
  <c r="V13" i="4"/>
  <c r="V11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E13" i="4"/>
  <c r="E12" i="4"/>
  <c r="E11" i="4"/>
  <c r="S44" i="2"/>
  <c r="Y6" i="4"/>
  <c r="Y7" i="4"/>
  <c r="Y8" i="4"/>
  <c r="Y3" i="4"/>
  <c r="Y11" i="4" s="1"/>
  <c r="Y4" i="4"/>
  <c r="Y2" i="4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B9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B8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B7" i="3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B9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B8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B7" i="2"/>
</calcChain>
</file>

<file path=xl/sharedStrings.xml><?xml version="1.0" encoding="utf-8"?>
<sst xmlns="http://schemas.openxmlformats.org/spreadsheetml/2006/main" count="907" uniqueCount="418">
  <si>
    <t>13864: Innenlandske flyttinger, etter fraflyttingsregion, år og tilflyttingsregion</t>
  </si>
  <si>
    <t>Innenlandske flyttinger</t>
  </si>
  <si>
    <t>2025</t>
  </si>
  <si>
    <t>4001 Porsgrunn</t>
  </si>
  <si>
    <t>4003 Skien</t>
  </si>
  <si>
    <t>4005 Notodden</t>
  </si>
  <si>
    <t>4010 Siljan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</si>
  <si>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</si>
  <si>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</si>
  <si>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</si>
  <si>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</si>
  <si>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</si>
  <si>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</si>
  <si>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</si>
  <si>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</si>
  <si>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</si>
  <si>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</si>
  <si>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</si>
  <si>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</si>
  <si>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</si>
  <si>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>3101 Halden</t>
  </si>
  <si>
    <t>3103 Moss</t>
  </si>
  <si>
    <t>3105 Sarpsborg</t>
  </si>
  <si>
    <t>3107 Fredrikstad</t>
  </si>
  <si>
    <t>3110 Hvaler</t>
  </si>
  <si>
    <t>3112 Råde</t>
  </si>
  <si>
    <t>3114 Våler (Østfold)</t>
  </si>
  <si>
    <t>3116 Skiptvet</t>
  </si>
  <si>
    <t>3118 Indre Østfold</t>
  </si>
  <si>
    <t>3120 Rakkestad</t>
  </si>
  <si>
    <t>3122 Marker</t>
  </si>
  <si>
    <t>3124 Aremark</t>
  </si>
  <si>
    <t>3201 Bærum</t>
  </si>
  <si>
    <t>3203 Asker</t>
  </si>
  <si>
    <t>3205 Lillestrøm</t>
  </si>
  <si>
    <t>3207 Nordre Follo</t>
  </si>
  <si>
    <t>3209 Ullensaker</t>
  </si>
  <si>
    <t>3212 Nesodden</t>
  </si>
  <si>
    <t>3214 Frogn</t>
  </si>
  <si>
    <t>3216 Vestby</t>
  </si>
  <si>
    <t>3218 Ås</t>
  </si>
  <si>
    <t>3220 Enebakk</t>
  </si>
  <si>
    <t>3222 Lørenskog</t>
  </si>
  <si>
    <t>3224 Rælingen</t>
  </si>
  <si>
    <t>3226 Aurskog-Høland</t>
  </si>
  <si>
    <t>3228 Nes</t>
  </si>
  <si>
    <t>3230 Gjerdrum</t>
  </si>
  <si>
    <t>3232 Nittedal</t>
  </si>
  <si>
    <t>3234 Lunner</t>
  </si>
  <si>
    <t>3236 Jevnaker</t>
  </si>
  <si>
    <t>3238 Nannestad</t>
  </si>
  <si>
    <t>3240 Eidsvoll</t>
  </si>
  <si>
    <t>3242 Hurdal</t>
  </si>
  <si>
    <t>0301 Oslo - Oslove</t>
  </si>
  <si>
    <t>3301 Drammen</t>
  </si>
  <si>
    <t>3303 Kongsberg</t>
  </si>
  <si>
    <t>3305 Ringerike</t>
  </si>
  <si>
    <t>3310 Hole</t>
  </si>
  <si>
    <t>3312 Lier</t>
  </si>
  <si>
    <t>3314 Øvre Eiker</t>
  </si>
  <si>
    <t>3316 Modum</t>
  </si>
  <si>
    <t>3318 Krødsherad</t>
  </si>
  <si>
    <t>3320 Flå</t>
  </si>
  <si>
    <t>3322 Nesbyen</t>
  </si>
  <si>
    <t>3324 Gol</t>
  </si>
  <si>
    <t>3326 Hemsedal</t>
  </si>
  <si>
    <t>3328 Ål</t>
  </si>
  <si>
    <t>3330 Hol</t>
  </si>
  <si>
    <t>3332 Sigdal</t>
  </si>
  <si>
    <t>3334 Flesberg</t>
  </si>
  <si>
    <t>3336 Rollag</t>
  </si>
  <si>
    <t>3338 Nore og Uvdal</t>
  </si>
  <si>
    <t>3401 Kongsvinger</t>
  </si>
  <si>
    <t>3403 Hamar</t>
  </si>
  <si>
    <t>3405 Lillehammer</t>
  </si>
  <si>
    <t>3407 Gjøvik</t>
  </si>
  <si>
    <t>3411 Ringsaker</t>
  </si>
  <si>
    <t>3412 Løten</t>
  </si>
  <si>
    <t>3413 Stange</t>
  </si>
  <si>
    <t>3414 Nord-Odal</t>
  </si>
  <si>
    <t>3415 Sør-Odal</t>
  </si>
  <si>
    <t>3416 Eidskog</t>
  </si>
  <si>
    <t>3417 Grue</t>
  </si>
  <si>
    <t>3418 Åsnes</t>
  </si>
  <si>
    <t>3419 Våler (Innlandet)</t>
  </si>
  <si>
    <t>3420 Elverum</t>
  </si>
  <si>
    <t>3421 Trysil</t>
  </si>
  <si>
    <t>3422 Åmot</t>
  </si>
  <si>
    <t>3423 Stor-Elvdal</t>
  </si>
  <si>
    <t>3424 Rendalen</t>
  </si>
  <si>
    <t>3425 Engerdal</t>
  </si>
  <si>
    <t>3426 Tolga</t>
  </si>
  <si>
    <t>3427 Tynset</t>
  </si>
  <si>
    <t>3428 Alvdal</t>
  </si>
  <si>
    <t>3429 Folldal</t>
  </si>
  <si>
    <t>3430 Os</t>
  </si>
  <si>
    <t>3431 Dovre</t>
  </si>
  <si>
    <t>3432 Lesja</t>
  </si>
  <si>
    <t>3433 Skjåk</t>
  </si>
  <si>
    <t>3434 Lom</t>
  </si>
  <si>
    <t>3435 Vågå</t>
  </si>
  <si>
    <t>3436 Nord-Fron</t>
  </si>
  <si>
    <t>3437 Sel</t>
  </si>
  <si>
    <t>3438 Sør-Fron</t>
  </si>
  <si>
    <t>3439 Ringebu</t>
  </si>
  <si>
    <t>3440 Øyer</t>
  </si>
  <si>
    <t>3441 Gausdal</t>
  </si>
  <si>
    <t>3442 Østre Toten</t>
  </si>
  <si>
    <t>3443 Vestre Toten</t>
  </si>
  <si>
    <t>3446 Gran</t>
  </si>
  <si>
    <t>3447 Søndre Land</t>
  </si>
  <si>
    <t>3448 Nordre Land</t>
  </si>
  <si>
    <t>3449 Sør-Aurdal</t>
  </si>
  <si>
    <t>3450 Etnedal</t>
  </si>
  <si>
    <t>3451 Nord-Aurdal</t>
  </si>
  <si>
    <t>3452 Vestre Slidre</t>
  </si>
  <si>
    <t>3453 Øystre Slidre</t>
  </si>
  <si>
    <t>3454 Vang</t>
  </si>
  <si>
    <t>3901 Horten</t>
  </si>
  <si>
    <t>3903 Holmestrand</t>
  </si>
  <si>
    <t>3905 Tønsberg</t>
  </si>
  <si>
    <t>3907 Sandefjord</t>
  </si>
  <si>
    <t>3909 Larvik</t>
  </si>
  <si>
    <t>3911 Færder</t>
  </si>
  <si>
    <t>4201 Risør</t>
  </si>
  <si>
    <t>4202 Grimstad</t>
  </si>
  <si>
    <t>4203 Arendal</t>
  </si>
  <si>
    <t>4204 Kristiansand</t>
  </si>
  <si>
    <t>4205 Lindesnes</t>
  </si>
  <si>
    <t>4206 Farsund</t>
  </si>
  <si>
    <t>4207 Flekkefjord</t>
  </si>
  <si>
    <t>4211 Gjerstad</t>
  </si>
  <si>
    <t>4212 Vegårshei</t>
  </si>
  <si>
    <t>4213 Tvedestrand</t>
  </si>
  <si>
    <t>4214 Froland</t>
  </si>
  <si>
    <t>4215 Lillesand</t>
  </si>
  <si>
    <t>4216 Birkenes</t>
  </si>
  <si>
    <t>4217 Åmli</t>
  </si>
  <si>
    <t>4218 Iveland</t>
  </si>
  <si>
    <t>4219 Evje og Hornnes</t>
  </si>
  <si>
    <t>4220 Bygland</t>
  </si>
  <si>
    <t>4221 Valle</t>
  </si>
  <si>
    <t>4222 Bykle</t>
  </si>
  <si>
    <t>4223 Vennesla</t>
  </si>
  <si>
    <t>4224 Åseral</t>
  </si>
  <si>
    <t>4225 Lyngdal</t>
  </si>
  <si>
    <t>4226 Hægebostad</t>
  </si>
  <si>
    <t>4227 Kvinesdal</t>
  </si>
  <si>
    <t>4228 Sirdal</t>
  </si>
  <si>
    <t>1101 Eigersund</t>
  </si>
  <si>
    <t>1103 Stavanger</t>
  </si>
  <si>
    <t>1106 Haugesund</t>
  </si>
  <si>
    <t>1108 Sandnes</t>
  </si>
  <si>
    <t>1111 Sokndal</t>
  </si>
  <si>
    <t>1112 Lund</t>
  </si>
  <si>
    <t>1114 Bjerkreim</t>
  </si>
  <si>
    <t>1119 Hå</t>
  </si>
  <si>
    <t>1120 Klepp</t>
  </si>
  <si>
    <t>1121 Time</t>
  </si>
  <si>
    <t>1122 Gjesdal</t>
  </si>
  <si>
    <t>1124 Sola</t>
  </si>
  <si>
    <t>1127 Randaberg</t>
  </si>
  <si>
    <t>1130 Strand</t>
  </si>
  <si>
    <t>1133 Hjelmeland</t>
  </si>
  <si>
    <t>1134 Suldal</t>
  </si>
  <si>
    <t>1135 Sauda</t>
  </si>
  <si>
    <t>1144 Kvitsøy</t>
  </si>
  <si>
    <t>1145 Bokn</t>
  </si>
  <si>
    <t>1146 Tysvær</t>
  </si>
  <si>
    <t>1149 Karmøy</t>
  </si>
  <si>
    <t>1151 Utsira</t>
  </si>
  <si>
    <t>1160 Vindafjord</t>
  </si>
  <si>
    <t>4601 Bergen</t>
  </si>
  <si>
    <t>4602 Kinn</t>
  </si>
  <si>
    <t>4611 Etne</t>
  </si>
  <si>
    <t>4612 Sveio</t>
  </si>
  <si>
    <t>4613 Bømlo</t>
  </si>
  <si>
    <t>4614 Stord</t>
  </si>
  <si>
    <t>4615 Fitjar</t>
  </si>
  <si>
    <t>4616 Tysnes</t>
  </si>
  <si>
    <t>4617 Kvinnherad</t>
  </si>
  <si>
    <t>4618 Ullensvang</t>
  </si>
  <si>
    <t>4619 Eidfjord</t>
  </si>
  <si>
    <t>4620 Ulvik</t>
  </si>
  <si>
    <t>4621 Voss</t>
  </si>
  <si>
    <t>4622 Kvam</t>
  </si>
  <si>
    <t>4623 Samnanger</t>
  </si>
  <si>
    <t>4624 Bjørnafjorden</t>
  </si>
  <si>
    <t>4625 Austevoll</t>
  </si>
  <si>
    <t>4626 Øygarden</t>
  </si>
  <si>
    <t>4627 Askøy</t>
  </si>
  <si>
    <t>4628 Vaksdal</t>
  </si>
  <si>
    <t>4629 Modalen</t>
  </si>
  <si>
    <t>4630 Osterøy</t>
  </si>
  <si>
    <t>4631 Alver</t>
  </si>
  <si>
    <t>4632 Austrheim</t>
  </si>
  <si>
    <t>4633 Fedje</t>
  </si>
  <si>
    <t>4634 Masfjorden</t>
  </si>
  <si>
    <t>4635 Gulen</t>
  </si>
  <si>
    <t>4636 Solund</t>
  </si>
  <si>
    <t>4637 Hyllestad</t>
  </si>
  <si>
    <t>4638 Høyanger</t>
  </si>
  <si>
    <t>4639 Vik</t>
  </si>
  <si>
    <t>4640 Sogndal</t>
  </si>
  <si>
    <t>4641 Aurland</t>
  </si>
  <si>
    <t>4642 Lærdal</t>
  </si>
  <si>
    <t>4643 Årdal</t>
  </si>
  <si>
    <t>4644 Luster</t>
  </si>
  <si>
    <t>4645 Askvoll</t>
  </si>
  <si>
    <t>4646 Fjaler</t>
  </si>
  <si>
    <t>4647 Sunnfjord</t>
  </si>
  <si>
    <t>4648 Bremanger</t>
  </si>
  <si>
    <t>4649 Stad</t>
  </si>
  <si>
    <t>4650 Gloppen</t>
  </si>
  <si>
    <t>4651 Stryn</t>
  </si>
  <si>
    <t>1505 Kristiansund</t>
  </si>
  <si>
    <t>1506 Molde</t>
  </si>
  <si>
    <t>1508 Ålesund</t>
  </si>
  <si>
    <t>1511 Vanylven</t>
  </si>
  <si>
    <t>1514 Sande</t>
  </si>
  <si>
    <t>1515 Herøy (Møre og Romsdal)</t>
  </si>
  <si>
    <t>1516 Ulstein</t>
  </si>
  <si>
    <t>1517 Hareid</t>
  </si>
  <si>
    <t>1520 Ørsta</t>
  </si>
  <si>
    <t>1525 Stranda</t>
  </si>
  <si>
    <t>1528 Sykkylven</t>
  </si>
  <si>
    <t>1531 Sula</t>
  </si>
  <si>
    <t>1532 Giske</t>
  </si>
  <si>
    <t>1535 Vestnes</t>
  </si>
  <si>
    <t>1539 Rauma</t>
  </si>
  <si>
    <t>1547 Aukra</t>
  </si>
  <si>
    <t>1554 Averøy</t>
  </si>
  <si>
    <t>1557 Gjemnes</t>
  </si>
  <si>
    <t>1560 Tingvoll</t>
  </si>
  <si>
    <t>1563 Sunndal</t>
  </si>
  <si>
    <t>1566 Surnadal</t>
  </si>
  <si>
    <t>1573 Smøla</t>
  </si>
  <si>
    <t>1576 Aure</t>
  </si>
  <si>
    <t>1577 Volda</t>
  </si>
  <si>
    <t>1578 Fjord</t>
  </si>
  <si>
    <t>1579 Hustadvika</t>
  </si>
  <si>
    <t>1580 Haram</t>
  </si>
  <si>
    <t>5001 Trondheim - Tråante</t>
  </si>
  <si>
    <t>5006 Steinkjer - Stïentje</t>
  </si>
  <si>
    <t>5007 Namsos - Nåavmesjenjaelmie</t>
  </si>
  <si>
    <t>5014 Frøya</t>
  </si>
  <si>
    <t>5020 Osen</t>
  </si>
  <si>
    <t>5021 Oppdal</t>
  </si>
  <si>
    <t>5022 Rennebu</t>
  </si>
  <si>
    <t>5025 Røros - Rosse</t>
  </si>
  <si>
    <t>5026 Holtålen</t>
  </si>
  <si>
    <t>5027 Midtre Gauldal</t>
  </si>
  <si>
    <t>5028 Melhus</t>
  </si>
  <si>
    <t>5029 Skaun</t>
  </si>
  <si>
    <t>5031 Malvik</t>
  </si>
  <si>
    <t>5032 Selbu</t>
  </si>
  <si>
    <t>5033 Tydal</t>
  </si>
  <si>
    <t>5034 Meråker</t>
  </si>
  <si>
    <t>5035 Stjørdal</t>
  </si>
  <si>
    <t>5036 Frosta</t>
  </si>
  <si>
    <t>5037 Levanger - Levangke</t>
  </si>
  <si>
    <t>5038 Verdal</t>
  </si>
  <si>
    <t>5041 Snåase - Snåsa</t>
  </si>
  <si>
    <t>5042 Lierne</t>
  </si>
  <si>
    <t>5043 Raarvihke - Røyrvik</t>
  </si>
  <si>
    <t>5044 Namsskogan</t>
  </si>
  <si>
    <t>5045 Grong</t>
  </si>
  <si>
    <t>5046 Høylandet</t>
  </si>
  <si>
    <t>5047 Overhalla</t>
  </si>
  <si>
    <t>5049 Flatanger</t>
  </si>
  <si>
    <t>5052 Leka</t>
  </si>
  <si>
    <t>5053 Inderøy</t>
  </si>
  <si>
    <t>5054 Indre Fosen</t>
  </si>
  <si>
    <t>5055 Heim</t>
  </si>
  <si>
    <t>5056 Hitra</t>
  </si>
  <si>
    <t>5057 Ørland</t>
  </si>
  <si>
    <t>5058 Åfjord</t>
  </si>
  <si>
    <t>5059 Orkland</t>
  </si>
  <si>
    <t>5060 Nærøysund</t>
  </si>
  <si>
    <t>5061 Rindal</t>
  </si>
  <si>
    <t>1804 Bodø</t>
  </si>
  <si>
    <t>1806 Narvik</t>
  </si>
  <si>
    <t>1811 Bindal</t>
  </si>
  <si>
    <t>1812 Sømna</t>
  </si>
  <si>
    <t>1813 Brønnøy</t>
  </si>
  <si>
    <t>1815 Vega</t>
  </si>
  <si>
    <t>1816 Vevelstad</t>
  </si>
  <si>
    <t>1818 Herøy (Nordland)</t>
  </si>
  <si>
    <t>1820 Alstahaug</t>
  </si>
  <si>
    <t>1822 Leirfjord</t>
  </si>
  <si>
    <t>1824 Vefsn</t>
  </si>
  <si>
    <t>1825 Grane</t>
  </si>
  <si>
    <t>1826 Aarborte - Hattfjelldal</t>
  </si>
  <si>
    <t>1827 Dønna</t>
  </si>
  <si>
    <t>1828 Nesna</t>
  </si>
  <si>
    <t>1832 Hemnes</t>
  </si>
  <si>
    <t>1833 Rana - Raane</t>
  </si>
  <si>
    <t>1834 Lurøy</t>
  </si>
  <si>
    <t>1835 Træna</t>
  </si>
  <si>
    <t>1836 Rødøy</t>
  </si>
  <si>
    <t>1837 Meløy</t>
  </si>
  <si>
    <t>1838 Gildeskål</t>
  </si>
  <si>
    <t>1839 Beiarn</t>
  </si>
  <si>
    <t>1840 Saltdal</t>
  </si>
  <si>
    <t>1841 Fauske - Fuossko</t>
  </si>
  <si>
    <t>1845 Sørfold - Fuolldá</t>
  </si>
  <si>
    <t>1848 Steigen</t>
  </si>
  <si>
    <t>1851 Lødingen</t>
  </si>
  <si>
    <t>1853 Evenes - Evenássi</t>
  </si>
  <si>
    <t>1856 Røst</t>
  </si>
  <si>
    <t>1857 Værøy</t>
  </si>
  <si>
    <t>1859 Flakstad</t>
  </si>
  <si>
    <t>1860 Vestvågøy</t>
  </si>
  <si>
    <t>1865 Vågan</t>
  </si>
  <si>
    <t>1866 Hadsel</t>
  </si>
  <si>
    <t>1867 Bø</t>
  </si>
  <si>
    <t>1868 Øksnes</t>
  </si>
  <si>
    <t>1870 Sortland - Suortá</t>
  </si>
  <si>
    <t>1871 Andøy</t>
  </si>
  <si>
    <t>1874 Moskenes</t>
  </si>
  <si>
    <t>1875 Hábmer - Hamarøy</t>
  </si>
  <si>
    <t>5501 Tromsø</t>
  </si>
  <si>
    <t>5503 Harstad - Hárstták</t>
  </si>
  <si>
    <t>5510 Kvæfjord</t>
  </si>
  <si>
    <t>5512 Dielddanuorri - Tjeldsund</t>
  </si>
  <si>
    <t>5514 Ibestad</t>
  </si>
  <si>
    <t>5516 Gratangen - Rivtták</t>
  </si>
  <si>
    <t>5518 Loabák - Lavangen</t>
  </si>
  <si>
    <t>5520 Bardu</t>
  </si>
  <si>
    <t>5522 Salangen</t>
  </si>
  <si>
    <t>5524 Målselv</t>
  </si>
  <si>
    <t>5526 Sørreisa</t>
  </si>
  <si>
    <t>5528 Dyrøy</t>
  </si>
  <si>
    <t>5530 Senja</t>
  </si>
  <si>
    <t>5532 Balsfjord</t>
  </si>
  <si>
    <t>5534 Karlsøy</t>
  </si>
  <si>
    <t>5536 Lyngen - Ivgu - Yykeä</t>
  </si>
  <si>
    <t>5538 Storfjord - Omasvuotna - Omasvuono</t>
  </si>
  <si>
    <t>5540 Gáivuotna - Kåfjord - Kaivuono</t>
  </si>
  <si>
    <t>5542 Skjervøy</t>
  </si>
  <si>
    <t>5544 Nordreisa - Ráisa - Raisi</t>
  </si>
  <si>
    <t>5546 Kvænangen</t>
  </si>
  <si>
    <t>5601 Alta</t>
  </si>
  <si>
    <t>5603 Hammerfest - Hámmerfeasta</t>
  </si>
  <si>
    <t>5605 Sør-Varanger</t>
  </si>
  <si>
    <t>5607 Vadsø</t>
  </si>
  <si>
    <t>5610 Kárásjohka - Karasjok</t>
  </si>
  <si>
    <t>5612 Guovdageaidnu - Kautokeino</t>
  </si>
  <si>
    <t>5614 Loppa</t>
  </si>
  <si>
    <t>5616 Hasvik</t>
  </si>
  <si>
    <t>5618 Måsøy</t>
  </si>
  <si>
    <t>5620 Nordkapp</t>
  </si>
  <si>
    <t>5622 Porsanger - Porsángu - Porsanki</t>
  </si>
  <si>
    <t>5624 Lebesby</t>
  </si>
  <si>
    <t>5626 Gamvik</t>
  </si>
  <si>
    <t>5628 Deatnu - Tana</t>
  </si>
  <si>
    <t>5630 Berlevåg</t>
  </si>
  <si>
    <t>5632 Båtsfjord</t>
  </si>
  <si>
    <t>5634 Vardø</t>
  </si>
  <si>
    <t>5636 Unjárga - Nesseby</t>
  </si>
  <si>
    <t>9999 Uoppgitt kommune</t>
  </si>
  <si>
    <t>.</t>
  </si>
  <si>
    <t>Tall fra 1 til 5 er enten senket med én, høynet med én, eller uendret - med lik sannsynlighet for hvert av de tre alternativene.</t>
  </si>
  <si>
    <t>. = Ikke mulig å oppgi tall. Tall finnes ikke på dette tidspunktet fordi kategorien ikke var i bruk da tallene ble samlet inn.</t>
  </si>
  <si>
    <t>Kontakt:</t>
  </si>
  <si>
    <t>Even Høydahl, Statistisk sentralbyrå</t>
  </si>
  <si>
    <t xml:space="preserve"> +47 95 77 79 06</t>
  </si>
  <si>
    <t>eve@ssb.no</t>
  </si>
  <si>
    <t>Database:</t>
  </si>
  <si>
    <t>Ekstern PROD database O_STATMETA_24 som 2.4</t>
  </si>
  <si>
    <t>Intern referansekode:</t>
  </si>
  <si>
    <t>13864</t>
  </si>
  <si>
    <t>Kilde:</t>
  </si>
  <si>
    <t>Statistisk sentralbyrå</t>
  </si>
  <si>
    <t>Offisiell statistikk</t>
  </si>
  <si>
    <t>Sist endret:</t>
  </si>
  <si>
    <t>20260313 08:00</t>
  </si>
  <si>
    <t>Måleenhet:</t>
  </si>
  <si>
    <t>personer</t>
  </si>
  <si>
    <t>Målemetode:</t>
  </si>
  <si>
    <t>Forløp (periodesum)</t>
  </si>
  <si>
    <t>Referansetid:</t>
  </si>
  <si>
    <t>I løpet av året</t>
  </si>
  <si>
    <t>Fra alle kommuner</t>
  </si>
  <si>
    <t>Fra kommuner ekskl. Telemark</t>
  </si>
  <si>
    <t>Fra andre kommuner i Telemark (internt)</t>
  </si>
  <si>
    <t>13864: Innenlandske flyttinger, etter tilflyttingsregion, fraflyttingsregion og år</t>
  </si>
  <si>
    <t>Til alle kommuner</t>
  </si>
  <si>
    <t>Til kommuner ekskl. Telemark</t>
  </si>
  <si>
    <t>Til andre kommuner i Telemark (internt)</t>
  </si>
  <si>
    <t>Porsgrunn</t>
  </si>
  <si>
    <t>Skien</t>
  </si>
  <si>
    <t>Notodden</t>
  </si>
  <si>
    <t>Siljan</t>
  </si>
  <si>
    <t>Bamble</t>
  </si>
  <si>
    <t>Kragerø</t>
  </si>
  <si>
    <t>Drangedal</t>
  </si>
  <si>
    <t>Nome</t>
  </si>
  <si>
    <t>Midt-Telemark</t>
  </si>
  <si>
    <t>Seljord</t>
  </si>
  <si>
    <t>Hjartdal</t>
  </si>
  <si>
    <t>Tinn</t>
  </si>
  <si>
    <t>Kviteseid</t>
  </si>
  <si>
    <t>Nissedal</t>
  </si>
  <si>
    <t>Fyresdal</t>
  </si>
  <si>
    <t>Tokke</t>
  </si>
  <si>
    <t>Vinje</t>
  </si>
  <si>
    <t>Fylket</t>
  </si>
  <si>
    <t>Ikke så relevant</t>
  </si>
  <si>
    <t>Netto flytting</t>
  </si>
  <si>
    <t>Med intern flytting</t>
  </si>
  <si>
    <t>Uten intern flytting</t>
  </si>
  <si>
    <t>Kun intern flytting</t>
  </si>
  <si>
    <t>Nullsumsspill, gir mening</t>
  </si>
  <si>
    <t>Alle tall stemmer med kartløsning!</t>
  </si>
  <si>
    <t>Ekstern + intern</t>
  </si>
  <si>
    <t>Ekstern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</si>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</sst>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B05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1" fontId="2" fillId="0" borderId="0" xfId="0" applyNumberFormat="1" applyFont="1"/>
    <xf numFmtId="0" fontId="3" fillId="0" borderId="0" xfId="0" applyFont="1"/>
    <xf numFmtId="0" fontId="2" fillId="2" borderId="0" xfId="0" applyFont="1" applyFill="1"/>
    <xf numFmtId="1" fontId="2" fillId="2" borderId="0" xfId="0" applyNumberFormat="1" applyFont="1" applyFill="1"/>
    <xf numFmtId="1" fontId="4" fillId="2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5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113.85546875" bestFit="1" customWidth="1"/>
  </cols>
  <sheetData>
    <row r="1" spans="1:18" ht="18.75" x14ac:dyDescent="0.3">
      <c r="A1" s="1" t="s">
        <v>0</v>
      </c>
    </row>
    <row r="3" spans="1:18" x14ac:dyDescent="0.25">
      <c r="B3" s="2" t="s">
        <v>1</v>
      </c>
    </row>
    <row r="4" spans="1:18" x14ac:dyDescent="0.25">
      <c r="B4" s="2" t="s">
        <v>2</v>
      </c>
    </row>
    <row r="5" spans="1:18" x14ac:dyDescent="0.25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</row>
    <row r="6" spans="1:18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t="s">
        <v>383</v>
      </c>
      <c r="B7" s="5">
        <f>SUM(B11:B367)</f>
        <v>1886</v>
      </c>
      <c r="C7" s="5">
        <f t="shared" ref="C7:R7" si="0">SUM(C11:C367)</f>
        <v>2218</v>
      </c>
      <c r="D7" s="5">
        <f t="shared" si="0"/>
        <v>476</v>
      </c>
      <c r="E7" s="5">
        <f t="shared" si="0"/>
        <v>106</v>
      </c>
      <c r="F7" s="5">
        <f t="shared" si="0"/>
        <v>609</v>
      </c>
      <c r="G7" s="5">
        <f t="shared" si="0"/>
        <v>355</v>
      </c>
      <c r="H7" s="5">
        <f t="shared" si="0"/>
        <v>151</v>
      </c>
      <c r="I7" s="5">
        <f t="shared" si="0"/>
        <v>259</v>
      </c>
      <c r="J7" s="5">
        <f t="shared" si="0"/>
        <v>589</v>
      </c>
      <c r="K7" s="5">
        <f t="shared" si="0"/>
        <v>117</v>
      </c>
      <c r="L7" s="5">
        <f t="shared" si="0"/>
        <v>93</v>
      </c>
      <c r="M7" s="5">
        <f t="shared" si="0"/>
        <v>213</v>
      </c>
      <c r="N7" s="5">
        <f t="shared" si="0"/>
        <v>106</v>
      </c>
      <c r="O7" s="5">
        <f t="shared" si="0"/>
        <v>71</v>
      </c>
      <c r="P7" s="5">
        <f t="shared" si="0"/>
        <v>68</v>
      </c>
      <c r="Q7" s="5">
        <f t="shared" si="0"/>
        <v>86</v>
      </c>
      <c r="R7" s="5">
        <f t="shared" si="0"/>
        <v>149</v>
      </c>
    </row>
    <row r="8" spans="1:18" x14ac:dyDescent="0.25">
      <c r="A8" t="s">
        <v>384</v>
      </c>
      <c r="B8" s="5">
        <f>SUM(B11:B114,B132:B367)</f>
        <v>895</v>
      </c>
      <c r="C8" s="5">
        <f t="shared" ref="C8:R8" si="1">SUM(C11:C114,C132:C367)</f>
        <v>1161</v>
      </c>
      <c r="D8" s="5">
        <f t="shared" si="1"/>
        <v>324</v>
      </c>
      <c r="E8" s="5">
        <f t="shared" si="1"/>
        <v>41</v>
      </c>
      <c r="F8" s="5">
        <f t="shared" si="1"/>
        <v>263</v>
      </c>
      <c r="G8" s="5">
        <f t="shared" si="1"/>
        <v>250</v>
      </c>
      <c r="H8" s="5">
        <f t="shared" si="1"/>
        <v>72</v>
      </c>
      <c r="I8" s="5">
        <f t="shared" si="1"/>
        <v>111</v>
      </c>
      <c r="J8" s="5">
        <f t="shared" si="1"/>
        <v>356</v>
      </c>
      <c r="K8" s="5">
        <f t="shared" si="1"/>
        <v>66</v>
      </c>
      <c r="L8" s="5">
        <f t="shared" si="1"/>
        <v>45</v>
      </c>
      <c r="M8" s="5">
        <f t="shared" si="1"/>
        <v>140</v>
      </c>
      <c r="N8" s="5">
        <f t="shared" si="1"/>
        <v>54</v>
      </c>
      <c r="O8" s="5">
        <f t="shared" si="1"/>
        <v>53</v>
      </c>
      <c r="P8" s="5">
        <f t="shared" si="1"/>
        <v>43</v>
      </c>
      <c r="Q8" s="5">
        <f t="shared" si="1"/>
        <v>53</v>
      </c>
      <c r="R8" s="5">
        <f t="shared" si="1"/>
        <v>96</v>
      </c>
    </row>
    <row r="9" spans="1:18" x14ac:dyDescent="0.25">
      <c r="A9" t="s">
        <v>385</v>
      </c>
      <c r="B9" s="5">
        <f>SUM(B115:B131)</f>
        <v>991</v>
      </c>
      <c r="C9" s="5">
        <f t="shared" ref="C9:R9" si="2">SUM(C115:C131)</f>
        <v>1057</v>
      </c>
      <c r="D9" s="5">
        <f t="shared" si="2"/>
        <v>152</v>
      </c>
      <c r="E9" s="5">
        <f t="shared" si="2"/>
        <v>65</v>
      </c>
      <c r="F9" s="5">
        <f t="shared" si="2"/>
        <v>346</v>
      </c>
      <c r="G9" s="5">
        <f t="shared" si="2"/>
        <v>105</v>
      </c>
      <c r="H9" s="5">
        <f t="shared" si="2"/>
        <v>79</v>
      </c>
      <c r="I9" s="5">
        <f t="shared" si="2"/>
        <v>148</v>
      </c>
      <c r="J9" s="5">
        <f t="shared" si="2"/>
        <v>233</v>
      </c>
      <c r="K9" s="5">
        <f t="shared" si="2"/>
        <v>51</v>
      </c>
      <c r="L9" s="5">
        <f t="shared" si="2"/>
        <v>48</v>
      </c>
      <c r="M9" s="5">
        <f t="shared" si="2"/>
        <v>73</v>
      </c>
      <c r="N9" s="5">
        <f t="shared" si="2"/>
        <v>52</v>
      </c>
      <c r="O9" s="5">
        <f t="shared" si="2"/>
        <v>18</v>
      </c>
      <c r="P9" s="5">
        <f t="shared" si="2"/>
        <v>25</v>
      </c>
      <c r="Q9" s="5">
        <f t="shared" si="2"/>
        <v>33</v>
      </c>
      <c r="R9" s="5">
        <f t="shared" si="2"/>
        <v>53</v>
      </c>
    </row>
    <row r="10" spans="1:18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 t="s">
        <v>20</v>
      </c>
      <c r="B11" s="3">
        <v>6</v>
      </c>
      <c r="C11" s="3">
        <v>14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>
        <v>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 x14ac:dyDescent="0.25">
      <c r="A12" s="2" t="s">
        <v>21</v>
      </c>
      <c r="B12" s="3">
        <v>4</v>
      </c>
      <c r="C12" s="3">
        <v>12</v>
      </c>
      <c r="D12" s="3">
        <v>5</v>
      </c>
      <c r="E12" s="3">
        <v>1</v>
      </c>
      <c r="F12" s="3">
        <v>1</v>
      </c>
      <c r="G12" s="3">
        <v>2</v>
      </c>
      <c r="H12" s="3">
        <v>0</v>
      </c>
      <c r="I12" s="3">
        <v>2</v>
      </c>
      <c r="J12" s="3">
        <v>0</v>
      </c>
      <c r="K12" s="3">
        <v>7</v>
      </c>
      <c r="L12" s="3">
        <v>0</v>
      </c>
      <c r="M12" s="3">
        <v>5</v>
      </c>
      <c r="N12" s="3">
        <v>1</v>
      </c>
      <c r="O12" s="3">
        <v>2</v>
      </c>
      <c r="P12" s="3">
        <v>0</v>
      </c>
      <c r="Q12" s="3">
        <v>1</v>
      </c>
      <c r="R12" s="3">
        <v>0</v>
      </c>
    </row>
    <row r="13" spans="1:18" x14ac:dyDescent="0.25">
      <c r="A13" s="2" t="s">
        <v>22</v>
      </c>
      <c r="B13" s="3">
        <v>3</v>
      </c>
      <c r="C13" s="3">
        <v>4</v>
      </c>
      <c r="D13" s="3">
        <v>3</v>
      </c>
      <c r="E13" s="3">
        <v>0</v>
      </c>
      <c r="F13" s="3">
        <v>1</v>
      </c>
      <c r="G13" s="3">
        <v>0</v>
      </c>
      <c r="H13" s="3">
        <v>0</v>
      </c>
      <c r="I13" s="3">
        <v>1</v>
      </c>
      <c r="J13" s="3">
        <v>5</v>
      </c>
      <c r="K13" s="3">
        <v>2</v>
      </c>
      <c r="L13" s="3">
        <v>1</v>
      </c>
      <c r="M13" s="3">
        <v>1</v>
      </c>
      <c r="N13" s="3">
        <v>0</v>
      </c>
      <c r="O13" s="3">
        <v>4</v>
      </c>
      <c r="P13" s="3">
        <v>0</v>
      </c>
      <c r="Q13" s="3">
        <v>0</v>
      </c>
      <c r="R13" s="3">
        <v>0</v>
      </c>
    </row>
    <row r="14" spans="1:18" x14ac:dyDescent="0.25">
      <c r="A14" s="2" t="s">
        <v>23</v>
      </c>
      <c r="B14" s="3">
        <v>14</v>
      </c>
      <c r="C14" s="3">
        <v>16</v>
      </c>
      <c r="D14" s="3">
        <v>3</v>
      </c>
      <c r="E14" s="3">
        <v>0</v>
      </c>
      <c r="F14" s="3">
        <v>1</v>
      </c>
      <c r="G14" s="3">
        <v>0</v>
      </c>
      <c r="H14" s="3">
        <v>0</v>
      </c>
      <c r="I14" s="3">
        <v>1</v>
      </c>
      <c r="J14" s="3">
        <v>4</v>
      </c>
      <c r="K14" s="3">
        <v>0</v>
      </c>
      <c r="L14" s="3">
        <v>0</v>
      </c>
      <c r="M14" s="3">
        <v>0</v>
      </c>
      <c r="N14" s="3">
        <v>3</v>
      </c>
      <c r="O14" s="3">
        <v>0</v>
      </c>
      <c r="P14" s="3">
        <v>1</v>
      </c>
      <c r="Q14" s="3">
        <v>0</v>
      </c>
      <c r="R14" s="3">
        <v>2</v>
      </c>
    </row>
    <row r="15" spans="1:18" x14ac:dyDescent="0.25">
      <c r="A15" s="2" t="s">
        <v>24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5">
      <c r="A16" s="2" t="s">
        <v>25</v>
      </c>
      <c r="B16" s="3">
        <v>1</v>
      </c>
      <c r="C16" s="3">
        <v>4</v>
      </c>
      <c r="D16" s="3">
        <v>0</v>
      </c>
      <c r="E16" s="3">
        <v>0</v>
      </c>
      <c r="F16" s="3">
        <v>1</v>
      </c>
      <c r="G16" s="3">
        <v>0</v>
      </c>
      <c r="H16" s="3">
        <v>2</v>
      </c>
      <c r="I16" s="3">
        <v>2</v>
      </c>
      <c r="J16" s="3">
        <v>2</v>
      </c>
      <c r="K16" s="3">
        <v>0</v>
      </c>
      <c r="L16" s="3">
        <v>0</v>
      </c>
      <c r="M16" s="3">
        <v>0</v>
      </c>
      <c r="N16" s="3">
        <v>6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25">
      <c r="A17" s="2" t="s">
        <v>26</v>
      </c>
      <c r="B17" s="3">
        <v>0</v>
      </c>
      <c r="C17" s="3">
        <v>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2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x14ac:dyDescent="0.25">
      <c r="A18" s="2" t="s">
        <v>27</v>
      </c>
      <c r="B18" s="3">
        <v>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25">
      <c r="A19" s="2" t="s">
        <v>28</v>
      </c>
      <c r="B19" s="3">
        <v>4</v>
      </c>
      <c r="C19" s="3">
        <v>12</v>
      </c>
      <c r="D19" s="3">
        <v>1</v>
      </c>
      <c r="E19" s="3">
        <v>0</v>
      </c>
      <c r="F19" s="3">
        <v>4</v>
      </c>
      <c r="G19" s="3">
        <v>3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  <c r="M19" s="3">
        <v>6</v>
      </c>
      <c r="N19" s="3">
        <v>0</v>
      </c>
      <c r="O19" s="3">
        <v>0</v>
      </c>
      <c r="P19" s="3">
        <v>0</v>
      </c>
      <c r="Q19" s="3">
        <v>0</v>
      </c>
      <c r="R19" s="3">
        <v>2</v>
      </c>
    </row>
    <row r="20" spans="1:18" x14ac:dyDescent="0.25">
      <c r="A20" s="2" t="s">
        <v>29</v>
      </c>
      <c r="B20" s="3">
        <v>2</v>
      </c>
      <c r="C20" s="3">
        <v>1</v>
      </c>
      <c r="D20" s="3">
        <v>0</v>
      </c>
      <c r="E20" s="3">
        <v>0</v>
      </c>
      <c r="F20" s="3">
        <v>2</v>
      </c>
      <c r="G20" s="3">
        <v>0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5">
      <c r="A21" s="2" t="s">
        <v>30</v>
      </c>
      <c r="B21" s="3">
        <v>0</v>
      </c>
      <c r="C21" s="3">
        <v>1</v>
      </c>
      <c r="D21" s="3">
        <v>0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25">
      <c r="A22" s="2" t="s">
        <v>31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25">
      <c r="A23" s="2" t="s">
        <v>32</v>
      </c>
      <c r="B23" s="3">
        <v>18</v>
      </c>
      <c r="C23" s="3">
        <v>15</v>
      </c>
      <c r="D23" s="3">
        <v>7</v>
      </c>
      <c r="E23" s="3">
        <v>0</v>
      </c>
      <c r="F23" s="3">
        <v>12</v>
      </c>
      <c r="G23" s="3">
        <v>7</v>
      </c>
      <c r="H23" s="3">
        <v>0</v>
      </c>
      <c r="I23" s="3">
        <v>6</v>
      </c>
      <c r="J23" s="3">
        <v>12</v>
      </c>
      <c r="K23" s="3">
        <v>2</v>
      </c>
      <c r="L23" s="3">
        <v>0</v>
      </c>
      <c r="M23" s="3">
        <v>5</v>
      </c>
      <c r="N23" s="3">
        <v>0</v>
      </c>
      <c r="O23" s="3">
        <v>0</v>
      </c>
      <c r="P23" s="3">
        <v>0</v>
      </c>
      <c r="Q23" s="3">
        <v>0</v>
      </c>
      <c r="R23" s="3">
        <v>4</v>
      </c>
    </row>
    <row r="24" spans="1:18" x14ac:dyDescent="0.25">
      <c r="A24" s="2" t="s">
        <v>33</v>
      </c>
      <c r="B24" s="3">
        <v>18</v>
      </c>
      <c r="C24" s="3">
        <v>19</v>
      </c>
      <c r="D24" s="3">
        <v>13</v>
      </c>
      <c r="E24" s="3">
        <v>0</v>
      </c>
      <c r="F24" s="3">
        <v>2</v>
      </c>
      <c r="G24" s="3">
        <v>9</v>
      </c>
      <c r="H24" s="3">
        <v>3</v>
      </c>
      <c r="I24" s="3">
        <v>5</v>
      </c>
      <c r="J24" s="3">
        <v>10</v>
      </c>
      <c r="K24" s="3">
        <v>0</v>
      </c>
      <c r="L24" s="3">
        <v>0</v>
      </c>
      <c r="M24" s="3">
        <v>0</v>
      </c>
      <c r="N24" s="3">
        <v>6</v>
      </c>
      <c r="O24" s="3">
        <v>1</v>
      </c>
      <c r="P24" s="3">
        <v>0</v>
      </c>
      <c r="Q24" s="3">
        <v>0</v>
      </c>
      <c r="R24" s="3">
        <v>0</v>
      </c>
    </row>
    <row r="25" spans="1:18" x14ac:dyDescent="0.25">
      <c r="A25" s="2" t="s">
        <v>34</v>
      </c>
      <c r="B25" s="3">
        <v>16</v>
      </c>
      <c r="C25" s="3">
        <v>13</v>
      </c>
      <c r="D25" s="3">
        <v>6</v>
      </c>
      <c r="E25" s="3">
        <v>2</v>
      </c>
      <c r="F25" s="3">
        <v>4</v>
      </c>
      <c r="G25" s="3">
        <v>0</v>
      </c>
      <c r="H25" s="3">
        <v>0</v>
      </c>
      <c r="I25" s="3">
        <v>1</v>
      </c>
      <c r="J25" s="3">
        <v>0</v>
      </c>
      <c r="K25" s="3">
        <v>0</v>
      </c>
      <c r="L25" s="3">
        <v>0</v>
      </c>
      <c r="M25" s="3">
        <v>2</v>
      </c>
      <c r="N25" s="3">
        <v>2</v>
      </c>
      <c r="O25" s="3">
        <v>0</v>
      </c>
      <c r="P25" s="3">
        <v>0</v>
      </c>
      <c r="Q25" s="3">
        <v>0</v>
      </c>
      <c r="R25" s="3">
        <v>1</v>
      </c>
    </row>
    <row r="26" spans="1:18" x14ac:dyDescent="0.25">
      <c r="A26" s="2" t="s">
        <v>35</v>
      </c>
      <c r="B26" s="3">
        <v>6</v>
      </c>
      <c r="C26" s="3">
        <v>19</v>
      </c>
      <c r="D26" s="3">
        <v>0</v>
      </c>
      <c r="E26" s="3">
        <v>0</v>
      </c>
      <c r="F26" s="3">
        <v>4</v>
      </c>
      <c r="G26" s="3">
        <v>6</v>
      </c>
      <c r="H26" s="3">
        <v>0</v>
      </c>
      <c r="I26" s="3">
        <v>1</v>
      </c>
      <c r="J26" s="3">
        <v>6</v>
      </c>
      <c r="K26" s="3">
        <v>0</v>
      </c>
      <c r="L26" s="3">
        <v>2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2</v>
      </c>
    </row>
    <row r="27" spans="1:18" x14ac:dyDescent="0.25">
      <c r="A27" s="2" t="s">
        <v>36</v>
      </c>
      <c r="B27" s="3">
        <v>2</v>
      </c>
      <c r="C27" s="3">
        <v>3</v>
      </c>
      <c r="D27" s="3">
        <v>3</v>
      </c>
      <c r="E27" s="3">
        <v>0</v>
      </c>
      <c r="F27" s="3">
        <v>0</v>
      </c>
      <c r="G27" s="3">
        <v>2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25">
      <c r="A28" s="2" t="s">
        <v>37</v>
      </c>
      <c r="B28" s="3">
        <v>2</v>
      </c>
      <c r="C28" s="3">
        <v>1</v>
      </c>
      <c r="D28" s="3">
        <v>3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3</v>
      </c>
      <c r="K28" s="3">
        <v>0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5">
      <c r="A29" s="2" t="s">
        <v>38</v>
      </c>
      <c r="B29" s="3">
        <v>1</v>
      </c>
      <c r="C29" s="3">
        <v>2</v>
      </c>
      <c r="D29" s="3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25">
      <c r="A30" s="2" t="s">
        <v>39</v>
      </c>
      <c r="B30" s="3">
        <v>9</v>
      </c>
      <c r="C30" s="3">
        <v>2</v>
      </c>
      <c r="D30" s="3">
        <v>0</v>
      </c>
      <c r="E30" s="3">
        <v>0</v>
      </c>
      <c r="F30" s="3">
        <v>0</v>
      </c>
      <c r="G30" s="3">
        <v>2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3">
        <v>1</v>
      </c>
      <c r="N30" s="3">
        <v>2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25">
      <c r="A31" s="2" t="s">
        <v>40</v>
      </c>
      <c r="B31" s="3">
        <v>7</v>
      </c>
      <c r="C31" s="3">
        <v>13</v>
      </c>
      <c r="D31" s="3">
        <v>0</v>
      </c>
      <c r="E31" s="3">
        <v>0</v>
      </c>
      <c r="F31" s="3">
        <v>0</v>
      </c>
      <c r="G31" s="3">
        <v>3</v>
      </c>
      <c r="H31" s="3">
        <v>0</v>
      </c>
      <c r="I31" s="3">
        <v>0</v>
      </c>
      <c r="J31" s="3">
        <v>1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25">
      <c r="A32" s="2" t="s">
        <v>41</v>
      </c>
      <c r="B32" s="3">
        <v>5</v>
      </c>
      <c r="C32" s="3">
        <v>3</v>
      </c>
      <c r="D32" s="3">
        <v>0</v>
      </c>
      <c r="E32" s="3">
        <v>0</v>
      </c>
      <c r="F32" s="3">
        <v>2</v>
      </c>
      <c r="G32" s="3">
        <v>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5</v>
      </c>
      <c r="Q32" s="3">
        <v>0</v>
      </c>
      <c r="R32" s="3">
        <v>0</v>
      </c>
    </row>
    <row r="33" spans="1:19" x14ac:dyDescent="0.25">
      <c r="A33" s="2" t="s">
        <v>42</v>
      </c>
      <c r="B33" s="3">
        <v>2</v>
      </c>
      <c r="C33" s="3">
        <v>15</v>
      </c>
      <c r="D33" s="3">
        <v>0</v>
      </c>
      <c r="E33" s="3">
        <v>1</v>
      </c>
      <c r="F33" s="3">
        <v>4</v>
      </c>
      <c r="G33" s="3">
        <v>0</v>
      </c>
      <c r="H33" s="3">
        <v>0</v>
      </c>
      <c r="I33" s="3">
        <v>1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3</v>
      </c>
      <c r="P33" s="3">
        <v>0</v>
      </c>
      <c r="Q33" s="3">
        <v>0</v>
      </c>
      <c r="R33" s="3">
        <v>0</v>
      </c>
    </row>
    <row r="34" spans="1:19" x14ac:dyDescent="0.25">
      <c r="A34" s="2" t="s">
        <v>43</v>
      </c>
      <c r="B34" s="3">
        <v>4</v>
      </c>
      <c r="C34" s="3">
        <v>3</v>
      </c>
      <c r="D34" s="3">
        <v>0</v>
      </c>
      <c r="E34" s="3">
        <v>0</v>
      </c>
      <c r="F34" s="3">
        <v>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9" x14ac:dyDescent="0.25">
      <c r="A35" s="2" t="s">
        <v>44</v>
      </c>
      <c r="B35" s="3">
        <v>0</v>
      </c>
      <c r="C35" s="3">
        <v>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9" x14ac:dyDescent="0.25">
      <c r="A36" s="2" t="s">
        <v>45</v>
      </c>
      <c r="B36" s="3">
        <v>1</v>
      </c>
      <c r="C36" s="3">
        <v>0</v>
      </c>
      <c r="D36" s="3">
        <v>2</v>
      </c>
      <c r="E36" s="3">
        <v>0</v>
      </c>
      <c r="F36" s="3">
        <v>0</v>
      </c>
      <c r="G36" s="3">
        <v>0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2</v>
      </c>
      <c r="R36" s="3">
        <v>0</v>
      </c>
    </row>
    <row r="37" spans="1:19" x14ac:dyDescent="0.25">
      <c r="A37" s="2" t="s">
        <v>46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9" x14ac:dyDescent="0.25">
      <c r="A38" s="2" t="s">
        <v>47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9" x14ac:dyDescent="0.25">
      <c r="A39" s="2" t="s">
        <v>48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9" x14ac:dyDescent="0.25">
      <c r="A40" s="2" t="s">
        <v>49</v>
      </c>
      <c r="B40" s="3">
        <v>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9" x14ac:dyDescent="0.25">
      <c r="A41" s="2" t="s">
        <v>50</v>
      </c>
      <c r="B41" s="3">
        <v>1</v>
      </c>
      <c r="C41" s="3">
        <v>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9" x14ac:dyDescent="0.25">
      <c r="A42" s="2" t="s">
        <v>51</v>
      </c>
      <c r="B42" s="3">
        <v>0</v>
      </c>
      <c r="C42" s="3">
        <v>1</v>
      </c>
      <c r="D42" s="3">
        <v>0</v>
      </c>
      <c r="E42" s="3">
        <v>0</v>
      </c>
      <c r="F42" s="3">
        <v>0</v>
      </c>
      <c r="G42" s="3">
        <v>3</v>
      </c>
      <c r="H42" s="3">
        <v>0</v>
      </c>
      <c r="I42" s="3">
        <v>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9" x14ac:dyDescent="0.25">
      <c r="A43" s="2" t="s">
        <v>52</v>
      </c>
      <c r="B43" s="3">
        <v>3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9" s="7" customFormat="1" x14ac:dyDescent="0.25">
      <c r="A44" s="7" t="s">
        <v>53</v>
      </c>
      <c r="B44" s="8">
        <v>152</v>
      </c>
      <c r="C44" s="8">
        <v>227</v>
      </c>
      <c r="D44" s="8">
        <v>37</v>
      </c>
      <c r="E44" s="8">
        <v>3</v>
      </c>
      <c r="F44" s="8">
        <v>40</v>
      </c>
      <c r="G44" s="8">
        <v>51</v>
      </c>
      <c r="H44" s="8">
        <v>12</v>
      </c>
      <c r="I44" s="8">
        <v>21</v>
      </c>
      <c r="J44" s="8">
        <v>76</v>
      </c>
      <c r="K44" s="8">
        <v>10</v>
      </c>
      <c r="L44" s="8">
        <v>10</v>
      </c>
      <c r="M44" s="8">
        <v>27</v>
      </c>
      <c r="N44" s="8">
        <v>8</v>
      </c>
      <c r="O44" s="8">
        <v>8</v>
      </c>
      <c r="P44" s="8">
        <v>5</v>
      </c>
      <c r="Q44" s="8">
        <v>8</v>
      </c>
      <c r="R44" s="8">
        <v>20</v>
      </c>
      <c r="S44" s="9">
        <f>SUM(B44:R44)</f>
        <v>715</v>
      </c>
    </row>
    <row r="45" spans="1:19" x14ac:dyDescent="0.25">
      <c r="A45" s="2" t="s">
        <v>54</v>
      </c>
      <c r="B45" s="3">
        <v>24</v>
      </c>
      <c r="C45" s="3">
        <v>26</v>
      </c>
      <c r="D45" s="3">
        <v>22</v>
      </c>
      <c r="E45" s="3">
        <v>4</v>
      </c>
      <c r="F45" s="3">
        <v>12</v>
      </c>
      <c r="G45" s="3">
        <v>6</v>
      </c>
      <c r="H45" s="3">
        <v>0</v>
      </c>
      <c r="I45" s="3">
        <v>0</v>
      </c>
      <c r="J45" s="3">
        <v>8</v>
      </c>
      <c r="K45" s="3">
        <v>4</v>
      </c>
      <c r="L45" s="3">
        <v>0</v>
      </c>
      <c r="M45" s="3">
        <v>9</v>
      </c>
      <c r="N45" s="3">
        <v>1</v>
      </c>
      <c r="O45" s="3">
        <v>2</v>
      </c>
      <c r="P45" s="3">
        <v>0</v>
      </c>
      <c r="Q45" s="3">
        <v>0</v>
      </c>
      <c r="R45" s="3">
        <v>0</v>
      </c>
    </row>
    <row r="46" spans="1:19" x14ac:dyDescent="0.25">
      <c r="A46" s="2" t="s">
        <v>55</v>
      </c>
      <c r="B46" s="3">
        <v>14</v>
      </c>
      <c r="C46" s="3">
        <v>9</v>
      </c>
      <c r="D46" s="3">
        <v>40</v>
      </c>
      <c r="E46" s="3">
        <v>0</v>
      </c>
      <c r="F46" s="3">
        <v>4</v>
      </c>
      <c r="G46" s="3">
        <v>2</v>
      </c>
      <c r="H46" s="3">
        <v>0</v>
      </c>
      <c r="I46" s="3">
        <v>2</v>
      </c>
      <c r="J46" s="3">
        <v>10</v>
      </c>
      <c r="K46" s="3">
        <v>2</v>
      </c>
      <c r="L46" s="3">
        <v>0</v>
      </c>
      <c r="M46" s="3">
        <v>10</v>
      </c>
      <c r="N46" s="3">
        <v>0</v>
      </c>
      <c r="O46" s="3">
        <v>0</v>
      </c>
      <c r="P46" s="3">
        <v>0</v>
      </c>
      <c r="Q46" s="3">
        <v>3</v>
      </c>
      <c r="R46" s="3">
        <v>2</v>
      </c>
    </row>
    <row r="47" spans="1:19" x14ac:dyDescent="0.25">
      <c r="A47" s="2" t="s">
        <v>56</v>
      </c>
      <c r="B47" s="3">
        <v>10</v>
      </c>
      <c r="C47" s="3">
        <v>4</v>
      </c>
      <c r="D47" s="3">
        <v>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3</v>
      </c>
      <c r="N47" s="3">
        <v>0</v>
      </c>
      <c r="O47" s="3">
        <v>0</v>
      </c>
      <c r="P47" s="3">
        <v>2</v>
      </c>
      <c r="Q47" s="3">
        <v>0</v>
      </c>
      <c r="R47" s="3">
        <v>0</v>
      </c>
    </row>
    <row r="48" spans="1:19" x14ac:dyDescent="0.25">
      <c r="A48" s="2" t="s">
        <v>57</v>
      </c>
      <c r="B48" s="3">
        <v>0</v>
      </c>
      <c r="C48" s="3">
        <v>0</v>
      </c>
      <c r="D48" s="3">
        <v>3</v>
      </c>
      <c r="E48" s="3">
        <v>2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25">
      <c r="A49" s="2" t="s">
        <v>58</v>
      </c>
      <c r="B49" s="3">
        <v>3</v>
      </c>
      <c r="C49" s="3">
        <v>3</v>
      </c>
      <c r="D49" s="3">
        <v>7</v>
      </c>
      <c r="E49" s="3">
        <v>0</v>
      </c>
      <c r="F49" s="3">
        <v>2</v>
      </c>
      <c r="G49" s="3">
        <v>7</v>
      </c>
      <c r="H49" s="3">
        <v>0</v>
      </c>
      <c r="I49" s="3">
        <v>0</v>
      </c>
      <c r="J49" s="3">
        <v>0</v>
      </c>
      <c r="K49" s="3">
        <v>2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 x14ac:dyDescent="0.25">
      <c r="A50" s="2" t="s">
        <v>59</v>
      </c>
      <c r="B50" s="3">
        <v>4</v>
      </c>
      <c r="C50" s="3">
        <v>8</v>
      </c>
      <c r="D50" s="3">
        <v>4</v>
      </c>
      <c r="E50" s="3">
        <v>0</v>
      </c>
      <c r="F50" s="3">
        <v>3</v>
      </c>
      <c r="G50" s="3">
        <v>0</v>
      </c>
      <c r="H50" s="3">
        <v>0</v>
      </c>
      <c r="I50" s="3">
        <v>0</v>
      </c>
      <c r="J50" s="3">
        <v>3</v>
      </c>
      <c r="K50" s="3">
        <v>0</v>
      </c>
      <c r="L50" s="3">
        <v>3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3</v>
      </c>
    </row>
    <row r="51" spans="1:18" x14ac:dyDescent="0.25">
      <c r="A51" s="2" t="s">
        <v>60</v>
      </c>
      <c r="B51" s="3">
        <v>2</v>
      </c>
      <c r="C51" s="3">
        <v>2</v>
      </c>
      <c r="D51" s="3">
        <v>4</v>
      </c>
      <c r="E51" s="3">
        <v>0</v>
      </c>
      <c r="F51" s="3">
        <v>0</v>
      </c>
      <c r="G51" s="3">
        <v>0</v>
      </c>
      <c r="H51" s="3">
        <v>1</v>
      </c>
      <c r="I51" s="3">
        <v>3</v>
      </c>
      <c r="J51" s="3">
        <v>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2</v>
      </c>
    </row>
    <row r="52" spans="1:18" x14ac:dyDescent="0.25">
      <c r="A52" s="2" t="s">
        <v>61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x14ac:dyDescent="0.25">
      <c r="A53" s="2" t="s">
        <v>62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25">
      <c r="A54" s="2" t="s">
        <v>63</v>
      </c>
      <c r="B54" s="3">
        <v>0</v>
      </c>
      <c r="C54" s="3">
        <v>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x14ac:dyDescent="0.25">
      <c r="A55" s="2" t="s">
        <v>64</v>
      </c>
      <c r="B55" s="3">
        <v>0</v>
      </c>
      <c r="C55" s="3">
        <v>2</v>
      </c>
      <c r="D55" s="3">
        <v>0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5">
      <c r="A56" s="2" t="s">
        <v>65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3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25">
      <c r="A57" s="2" t="s">
        <v>66</v>
      </c>
      <c r="B57" s="3">
        <v>0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5">
      <c r="A58" s="2" t="s">
        <v>67</v>
      </c>
      <c r="B58" s="3">
        <v>0</v>
      </c>
      <c r="C58" s="3">
        <v>4</v>
      </c>
      <c r="D58" s="3">
        <v>2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</v>
      </c>
      <c r="O58" s="3">
        <v>0</v>
      </c>
      <c r="P58" s="3">
        <v>0</v>
      </c>
      <c r="Q58" s="3">
        <v>2</v>
      </c>
      <c r="R58" s="3">
        <v>0</v>
      </c>
    </row>
    <row r="59" spans="1:18" x14ac:dyDescent="0.25">
      <c r="A59" s="2" t="s">
        <v>68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x14ac:dyDescent="0.25">
      <c r="A60" s="2" t="s">
        <v>69</v>
      </c>
      <c r="B60" s="3">
        <v>4</v>
      </c>
      <c r="C60" s="3">
        <v>0</v>
      </c>
      <c r="D60" s="3">
        <v>6</v>
      </c>
      <c r="E60" s="3">
        <v>0</v>
      </c>
      <c r="F60" s="3">
        <v>3</v>
      </c>
      <c r="G60" s="3">
        <v>1</v>
      </c>
      <c r="H60" s="3">
        <v>0</v>
      </c>
      <c r="I60" s="3">
        <v>0</v>
      </c>
      <c r="J60" s="3">
        <v>2</v>
      </c>
      <c r="K60" s="3">
        <v>0</v>
      </c>
      <c r="L60" s="3">
        <v>3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 x14ac:dyDescent="0.25">
      <c r="A61" s="2" t="s">
        <v>70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</v>
      </c>
      <c r="N61" s="3">
        <v>0</v>
      </c>
      <c r="O61" s="3">
        <v>0</v>
      </c>
      <c r="P61" s="3">
        <v>2</v>
      </c>
      <c r="Q61" s="3">
        <v>2</v>
      </c>
      <c r="R61" s="3">
        <v>0</v>
      </c>
    </row>
    <row r="62" spans="1:18" x14ac:dyDescent="0.25">
      <c r="A62" s="2" t="s">
        <v>71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 x14ac:dyDescent="0.25">
      <c r="A63" s="2" t="s">
        <v>72</v>
      </c>
      <c r="B63" s="3">
        <v>0</v>
      </c>
      <c r="C63" s="3">
        <v>6</v>
      </c>
      <c r="D63" s="3">
        <v>0</v>
      </c>
      <c r="E63" s="3">
        <v>0</v>
      </c>
      <c r="F63" s="3">
        <v>2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1</v>
      </c>
      <c r="P63" s="3">
        <v>0</v>
      </c>
      <c r="Q63" s="3">
        <v>0</v>
      </c>
      <c r="R63" s="3">
        <v>0</v>
      </c>
    </row>
    <row r="64" spans="1:18" x14ac:dyDescent="0.25">
      <c r="A64" s="2" t="s">
        <v>73</v>
      </c>
      <c r="B64" s="3">
        <v>3</v>
      </c>
      <c r="C64" s="3">
        <v>1</v>
      </c>
      <c r="D64" s="3">
        <v>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5">
      <c r="A65" s="2" t="s">
        <v>74</v>
      </c>
      <c r="B65" s="3">
        <v>2</v>
      </c>
      <c r="C65" s="3">
        <v>12</v>
      </c>
      <c r="D65" s="3">
        <v>0</v>
      </c>
      <c r="E65" s="3">
        <v>0</v>
      </c>
      <c r="F65" s="3">
        <v>2</v>
      </c>
      <c r="G65" s="3">
        <v>0</v>
      </c>
      <c r="H65" s="3">
        <v>0</v>
      </c>
      <c r="I65" s="3">
        <v>2</v>
      </c>
      <c r="J65" s="3">
        <v>1</v>
      </c>
      <c r="K65" s="3">
        <v>1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x14ac:dyDescent="0.25">
      <c r="A66" s="2" t="s">
        <v>75</v>
      </c>
      <c r="B66" s="3">
        <v>4</v>
      </c>
      <c r="C66" s="3">
        <v>7</v>
      </c>
      <c r="D66" s="3">
        <v>3</v>
      </c>
      <c r="E66" s="3">
        <v>0</v>
      </c>
      <c r="F66" s="3">
        <v>3</v>
      </c>
      <c r="G66" s="3">
        <v>1</v>
      </c>
      <c r="H66" s="3">
        <v>0</v>
      </c>
      <c r="I66" s="3">
        <v>2</v>
      </c>
      <c r="J66" s="3">
        <v>1</v>
      </c>
      <c r="K66" s="3">
        <v>0</v>
      </c>
      <c r="L66" s="3">
        <v>0</v>
      </c>
      <c r="M66" s="3">
        <v>0</v>
      </c>
      <c r="N66" s="3">
        <v>1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25">
      <c r="A67" s="2" t="s">
        <v>76</v>
      </c>
      <c r="B67" s="3">
        <v>1</v>
      </c>
      <c r="C67" s="3">
        <v>2</v>
      </c>
      <c r="D67" s="3">
        <v>1</v>
      </c>
      <c r="E67" s="3">
        <v>0</v>
      </c>
      <c r="F67" s="3">
        <v>0</v>
      </c>
      <c r="G67" s="3">
        <v>2</v>
      </c>
      <c r="H67" s="3">
        <v>0</v>
      </c>
      <c r="I67" s="3">
        <v>0</v>
      </c>
      <c r="J67" s="3">
        <v>2</v>
      </c>
      <c r="K67" s="3">
        <v>0</v>
      </c>
      <c r="L67" s="3">
        <v>3</v>
      </c>
      <c r="M67" s="3">
        <v>1</v>
      </c>
      <c r="N67" s="3">
        <v>0</v>
      </c>
      <c r="O67" s="3">
        <v>0</v>
      </c>
      <c r="P67" s="3">
        <v>1</v>
      </c>
      <c r="Q67" s="3">
        <v>0</v>
      </c>
      <c r="R67" s="3">
        <v>0</v>
      </c>
    </row>
    <row r="68" spans="1:18" x14ac:dyDescent="0.25">
      <c r="A68" s="2" t="s">
        <v>77</v>
      </c>
      <c r="B68" s="3">
        <v>0</v>
      </c>
      <c r="C68" s="3">
        <v>2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 x14ac:dyDescent="0.25">
      <c r="A69" s="2" t="s">
        <v>78</v>
      </c>
      <c r="B69" s="3">
        <v>0</v>
      </c>
      <c r="C69" s="3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2</v>
      </c>
      <c r="P69" s="3">
        <v>0</v>
      </c>
      <c r="Q69" s="3">
        <v>0</v>
      </c>
      <c r="R69" s="3">
        <v>0</v>
      </c>
    </row>
    <row r="70" spans="1:18" x14ac:dyDescent="0.25">
      <c r="A70" s="2" t="s">
        <v>79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 x14ac:dyDescent="0.25">
      <c r="A71" s="2" t="s">
        <v>80</v>
      </c>
      <c r="B71" s="3">
        <v>0</v>
      </c>
      <c r="C71" s="3">
        <v>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 x14ac:dyDescent="0.25">
      <c r="A72" s="2" t="s">
        <v>81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2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 x14ac:dyDescent="0.25">
      <c r="A73" s="2" t="s">
        <v>82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 x14ac:dyDescent="0.25">
      <c r="A74" s="2" t="s">
        <v>83</v>
      </c>
      <c r="B74" s="3">
        <v>4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4</v>
      </c>
      <c r="P74" s="3">
        <v>0</v>
      </c>
      <c r="Q74" s="3">
        <v>0</v>
      </c>
      <c r="R74" s="3">
        <v>0</v>
      </c>
    </row>
    <row r="75" spans="1:18" x14ac:dyDescent="0.25">
      <c r="A75" s="2" t="s">
        <v>84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x14ac:dyDescent="0.25">
      <c r="A76" s="2" t="s">
        <v>85</v>
      </c>
      <c r="B76" s="3">
        <v>6</v>
      </c>
      <c r="C76" s="3">
        <v>0</v>
      </c>
      <c r="D76" s="3">
        <v>2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2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 x14ac:dyDescent="0.25">
      <c r="A77" s="2" t="s">
        <v>86</v>
      </c>
      <c r="B77" s="3">
        <v>0</v>
      </c>
      <c r="C77" s="3">
        <v>0</v>
      </c>
      <c r="D77" s="3">
        <v>0</v>
      </c>
      <c r="E77" s="3">
        <v>0</v>
      </c>
      <c r="F77" s="3">
        <v>2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 x14ac:dyDescent="0.25">
      <c r="A78" s="2" t="s">
        <v>87</v>
      </c>
      <c r="B78" s="3">
        <v>2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 x14ac:dyDescent="0.25">
      <c r="A79" s="2" t="s">
        <v>88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25">
      <c r="A80" s="2" t="s">
        <v>89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 x14ac:dyDescent="0.25">
      <c r="A81" s="2" t="s">
        <v>90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 x14ac:dyDescent="0.25">
      <c r="A82" s="2" t="s">
        <v>91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 x14ac:dyDescent="0.25">
      <c r="A83" s="2" t="s">
        <v>92</v>
      </c>
      <c r="B83" s="3">
        <v>0</v>
      </c>
      <c r="C83" s="3">
        <v>0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 x14ac:dyDescent="0.25">
      <c r="A84" s="2" t="s">
        <v>93</v>
      </c>
      <c r="B84" s="3">
        <v>0</v>
      </c>
      <c r="C84" s="3">
        <v>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 x14ac:dyDescent="0.25">
      <c r="A85" s="2" t="s">
        <v>94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1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 x14ac:dyDescent="0.25">
      <c r="A86" s="2" t="s">
        <v>95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 x14ac:dyDescent="0.25">
      <c r="A87" s="2" t="s">
        <v>96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 x14ac:dyDescent="0.25">
      <c r="A88" s="2" t="s">
        <v>97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 x14ac:dyDescent="0.25">
      <c r="A89" s="2" t="s">
        <v>98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8" x14ac:dyDescent="0.25">
      <c r="A90" s="2" t="s">
        <v>99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 x14ac:dyDescent="0.25">
      <c r="A91" s="2" t="s">
        <v>100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 x14ac:dyDescent="0.25">
      <c r="A92" s="2" t="s">
        <v>101</v>
      </c>
      <c r="B92" s="3">
        <v>2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2</v>
      </c>
      <c r="K92" s="3">
        <v>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 x14ac:dyDescent="0.25">
      <c r="A93" s="2" t="s">
        <v>102</v>
      </c>
      <c r="B93" s="3">
        <v>0</v>
      </c>
      <c r="C93" s="3">
        <v>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 x14ac:dyDescent="0.25">
      <c r="A94" s="2" t="s">
        <v>103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25">
      <c r="A95" s="2" t="s">
        <v>104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 x14ac:dyDescent="0.25">
      <c r="A96" s="2" t="s">
        <v>105</v>
      </c>
      <c r="B96" s="3">
        <v>0</v>
      </c>
      <c r="C96" s="3">
        <v>2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1:18" x14ac:dyDescent="0.25">
      <c r="A97" s="2" t="s">
        <v>106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 x14ac:dyDescent="0.25">
      <c r="A98" s="2" t="s">
        <v>107</v>
      </c>
      <c r="B98" s="3">
        <v>4</v>
      </c>
      <c r="C98" s="3">
        <v>0</v>
      </c>
      <c r="D98" s="3">
        <v>0</v>
      </c>
      <c r="E98" s="3">
        <v>0</v>
      </c>
      <c r="F98" s="3">
        <v>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8" x14ac:dyDescent="0.25">
      <c r="A99" s="2" t="s">
        <v>108</v>
      </c>
      <c r="B99" s="3">
        <v>3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1:18" x14ac:dyDescent="0.25">
      <c r="A100" s="2" t="s">
        <v>109</v>
      </c>
      <c r="B100" s="3">
        <v>0</v>
      </c>
      <c r="C100" s="3">
        <v>4</v>
      </c>
      <c r="D100" s="3">
        <v>1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 x14ac:dyDescent="0.25">
      <c r="A101" s="2" t="s">
        <v>110</v>
      </c>
      <c r="B101" s="3">
        <v>0</v>
      </c>
      <c r="C101" s="3">
        <v>0</v>
      </c>
      <c r="D101" s="3">
        <v>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 x14ac:dyDescent="0.25">
      <c r="A102" s="2" t="s">
        <v>111</v>
      </c>
      <c r="B102" s="3">
        <v>0</v>
      </c>
      <c r="C102" s="3">
        <v>0</v>
      </c>
      <c r="D102" s="3">
        <v>3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 x14ac:dyDescent="0.25">
      <c r="A103" s="2" t="s">
        <v>112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 x14ac:dyDescent="0.25">
      <c r="A104" s="2" t="s">
        <v>113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3</v>
      </c>
      <c r="P104" s="3">
        <v>0</v>
      </c>
      <c r="Q104" s="3">
        <v>0</v>
      </c>
      <c r="R104" s="3">
        <v>0</v>
      </c>
    </row>
    <row r="105" spans="1:18" x14ac:dyDescent="0.25">
      <c r="A105" s="2" t="s">
        <v>114</v>
      </c>
      <c r="B105" s="3">
        <v>2</v>
      </c>
      <c r="C105" s="3">
        <v>4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 x14ac:dyDescent="0.25">
      <c r="A106" s="2" t="s">
        <v>115</v>
      </c>
      <c r="B106" s="3">
        <v>1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</row>
    <row r="107" spans="1:18" x14ac:dyDescent="0.25">
      <c r="A107" s="2" t="s">
        <v>116</v>
      </c>
      <c r="B107" s="3">
        <v>0</v>
      </c>
      <c r="C107" s="3">
        <v>0</v>
      </c>
      <c r="D107" s="3">
        <v>0</v>
      </c>
      <c r="E107" s="3">
        <v>0</v>
      </c>
      <c r="F107" s="3">
        <v>1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 x14ac:dyDescent="0.25">
      <c r="A108" s="2" t="s">
        <v>117</v>
      </c>
      <c r="B108" s="3">
        <v>0</v>
      </c>
      <c r="C108" s="3">
        <v>0</v>
      </c>
      <c r="D108" s="3">
        <v>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 x14ac:dyDescent="0.25">
      <c r="A109" s="2" t="s">
        <v>118</v>
      </c>
      <c r="B109" s="3">
        <v>17</v>
      </c>
      <c r="C109" s="3">
        <v>24</v>
      </c>
      <c r="D109" s="3">
        <v>4</v>
      </c>
      <c r="E109" s="3">
        <v>1</v>
      </c>
      <c r="F109" s="3">
        <v>3</v>
      </c>
      <c r="G109" s="3">
        <v>0</v>
      </c>
      <c r="H109" s="3">
        <v>4</v>
      </c>
      <c r="I109" s="3">
        <v>6</v>
      </c>
      <c r="J109" s="3">
        <v>2</v>
      </c>
      <c r="K109" s="3">
        <v>0</v>
      </c>
      <c r="L109" s="3">
        <v>0</v>
      </c>
      <c r="M109" s="3">
        <v>2</v>
      </c>
      <c r="N109" s="3">
        <v>0</v>
      </c>
      <c r="O109" s="3">
        <v>0</v>
      </c>
      <c r="P109" s="3">
        <v>0</v>
      </c>
      <c r="Q109" s="3">
        <v>0</v>
      </c>
      <c r="R109" s="3">
        <v>2</v>
      </c>
    </row>
    <row r="110" spans="1:18" x14ac:dyDescent="0.25">
      <c r="A110" s="2" t="s">
        <v>119</v>
      </c>
      <c r="B110" s="3">
        <v>5</v>
      </c>
      <c r="C110" s="3">
        <v>14</v>
      </c>
      <c r="D110" s="3">
        <v>4</v>
      </c>
      <c r="E110" s="3">
        <v>0</v>
      </c>
      <c r="F110" s="3">
        <v>9</v>
      </c>
      <c r="G110" s="3">
        <v>4</v>
      </c>
      <c r="H110" s="3">
        <v>0</v>
      </c>
      <c r="I110" s="3">
        <v>0</v>
      </c>
      <c r="J110" s="3">
        <v>5</v>
      </c>
      <c r="K110" s="3">
        <v>0</v>
      </c>
      <c r="L110" s="3">
        <v>0</v>
      </c>
      <c r="M110" s="3">
        <v>1</v>
      </c>
      <c r="N110" s="3">
        <v>0</v>
      </c>
      <c r="O110" s="3">
        <v>0</v>
      </c>
      <c r="P110" s="3">
        <v>4</v>
      </c>
      <c r="Q110" s="3">
        <v>4</v>
      </c>
      <c r="R110" s="3">
        <v>0</v>
      </c>
    </row>
    <row r="111" spans="1:18" x14ac:dyDescent="0.25">
      <c r="A111" s="2" t="s">
        <v>120</v>
      </c>
      <c r="B111" s="3">
        <v>38</v>
      </c>
      <c r="C111" s="3">
        <v>42</v>
      </c>
      <c r="D111" s="3">
        <v>9</v>
      </c>
      <c r="E111" s="3">
        <v>6</v>
      </c>
      <c r="F111" s="3">
        <v>7</v>
      </c>
      <c r="G111" s="3">
        <v>1</v>
      </c>
      <c r="H111" s="3">
        <v>2</v>
      </c>
      <c r="I111" s="3">
        <v>2</v>
      </c>
      <c r="J111" s="3">
        <v>8</v>
      </c>
      <c r="K111" s="3">
        <v>0</v>
      </c>
      <c r="L111" s="3">
        <v>5</v>
      </c>
      <c r="M111" s="3">
        <v>8</v>
      </c>
      <c r="N111" s="3">
        <v>2</v>
      </c>
      <c r="O111" s="3">
        <v>0</v>
      </c>
      <c r="P111" s="3">
        <v>0</v>
      </c>
      <c r="Q111" s="3">
        <v>6</v>
      </c>
      <c r="R111" s="3">
        <v>7</v>
      </c>
    </row>
    <row r="112" spans="1:18" x14ac:dyDescent="0.25">
      <c r="A112" s="2" t="s">
        <v>121</v>
      </c>
      <c r="B112" s="3">
        <v>47</v>
      </c>
      <c r="C112" s="3">
        <v>60</v>
      </c>
      <c r="D112" s="3">
        <v>6</v>
      </c>
      <c r="E112" s="3">
        <v>0</v>
      </c>
      <c r="F112" s="3">
        <v>10</v>
      </c>
      <c r="G112" s="3">
        <v>6</v>
      </c>
      <c r="H112" s="3">
        <v>3</v>
      </c>
      <c r="I112" s="3">
        <v>7</v>
      </c>
      <c r="J112" s="3">
        <v>11</v>
      </c>
      <c r="K112" s="3">
        <v>3</v>
      </c>
      <c r="L112" s="3">
        <v>2</v>
      </c>
      <c r="M112" s="3">
        <v>2</v>
      </c>
      <c r="N112" s="3">
        <v>0</v>
      </c>
      <c r="O112" s="3">
        <v>3</v>
      </c>
      <c r="P112" s="3">
        <v>0</v>
      </c>
      <c r="Q112" s="3">
        <v>1</v>
      </c>
      <c r="R112" s="3">
        <v>0</v>
      </c>
    </row>
    <row r="113" spans="1:18" x14ac:dyDescent="0.25">
      <c r="A113" s="2" t="s">
        <v>122</v>
      </c>
      <c r="B113" s="3">
        <v>95</v>
      </c>
      <c r="C113" s="3">
        <v>58</v>
      </c>
      <c r="D113" s="3">
        <v>3</v>
      </c>
      <c r="E113" s="3">
        <v>5</v>
      </c>
      <c r="F113" s="3">
        <v>14</v>
      </c>
      <c r="G113" s="3">
        <v>8</v>
      </c>
      <c r="H113" s="3">
        <v>0</v>
      </c>
      <c r="I113" s="3">
        <v>1</v>
      </c>
      <c r="J113" s="3">
        <v>8</v>
      </c>
      <c r="K113" s="3">
        <v>1</v>
      </c>
      <c r="L113" s="3">
        <v>0</v>
      </c>
      <c r="M113" s="3">
        <v>1</v>
      </c>
      <c r="N113" s="3">
        <v>4</v>
      </c>
      <c r="O113" s="3">
        <v>0</v>
      </c>
      <c r="P113" s="3">
        <v>1</v>
      </c>
      <c r="Q113" s="3">
        <v>0</v>
      </c>
      <c r="R113" s="3">
        <v>2</v>
      </c>
    </row>
    <row r="114" spans="1:18" x14ac:dyDescent="0.25">
      <c r="A114" s="2" t="s">
        <v>123</v>
      </c>
      <c r="B114" s="3">
        <v>10</v>
      </c>
      <c r="C114" s="3">
        <v>14</v>
      </c>
      <c r="D114" s="3">
        <v>11</v>
      </c>
      <c r="E114" s="3">
        <v>3</v>
      </c>
      <c r="F114" s="3">
        <v>2</v>
      </c>
      <c r="G114" s="3">
        <v>4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</row>
    <row r="115" spans="1:18" x14ac:dyDescent="0.25">
      <c r="A115" s="2" t="s">
        <v>3</v>
      </c>
      <c r="B115" s="3">
        <v>0</v>
      </c>
      <c r="C115" s="3">
        <v>596</v>
      </c>
      <c r="D115" s="3">
        <v>11</v>
      </c>
      <c r="E115" s="3">
        <v>10</v>
      </c>
      <c r="F115" s="3">
        <v>198</v>
      </c>
      <c r="G115" s="3">
        <v>30</v>
      </c>
      <c r="H115" s="3">
        <v>12</v>
      </c>
      <c r="I115" s="3">
        <v>26</v>
      </c>
      <c r="J115" s="3">
        <v>8</v>
      </c>
      <c r="K115" s="3">
        <v>0</v>
      </c>
      <c r="L115" s="3">
        <v>3</v>
      </c>
      <c r="M115" s="3">
        <v>6</v>
      </c>
      <c r="N115" s="3">
        <v>11</v>
      </c>
      <c r="O115" s="3">
        <v>6</v>
      </c>
      <c r="P115" s="3">
        <v>5</v>
      </c>
      <c r="Q115" s="3">
        <v>2</v>
      </c>
      <c r="R115" s="3">
        <v>2</v>
      </c>
    </row>
    <row r="116" spans="1:18" x14ac:dyDescent="0.25">
      <c r="A116" s="2" t="s">
        <v>4</v>
      </c>
      <c r="B116" s="3">
        <v>636</v>
      </c>
      <c r="C116" s="3">
        <v>0</v>
      </c>
      <c r="D116" s="3">
        <v>21</v>
      </c>
      <c r="E116" s="3">
        <v>50</v>
      </c>
      <c r="F116" s="3">
        <v>90</v>
      </c>
      <c r="G116" s="3">
        <v>24</v>
      </c>
      <c r="H116" s="3">
        <v>33</v>
      </c>
      <c r="I116" s="3">
        <v>39</v>
      </c>
      <c r="J116" s="3">
        <v>51</v>
      </c>
      <c r="K116" s="3">
        <v>4</v>
      </c>
      <c r="L116" s="3">
        <v>4</v>
      </c>
      <c r="M116" s="3">
        <v>8</v>
      </c>
      <c r="N116" s="3">
        <v>4</v>
      </c>
      <c r="O116" s="3">
        <v>4</v>
      </c>
      <c r="P116" s="3">
        <v>15</v>
      </c>
      <c r="Q116" s="3">
        <v>3</v>
      </c>
      <c r="R116" s="3">
        <v>13</v>
      </c>
    </row>
    <row r="117" spans="1:18" x14ac:dyDescent="0.25">
      <c r="A117" s="2" t="s">
        <v>5</v>
      </c>
      <c r="B117" s="3">
        <v>13</v>
      </c>
      <c r="C117" s="3">
        <v>24</v>
      </c>
      <c r="D117" s="3">
        <v>0</v>
      </c>
      <c r="E117" s="3">
        <v>0</v>
      </c>
      <c r="F117" s="3">
        <v>3</v>
      </c>
      <c r="G117" s="3">
        <v>0</v>
      </c>
      <c r="H117" s="3">
        <v>0</v>
      </c>
      <c r="I117" s="3">
        <v>4</v>
      </c>
      <c r="J117" s="3">
        <v>49</v>
      </c>
      <c r="K117" s="3">
        <v>8</v>
      </c>
      <c r="L117" s="3">
        <v>27</v>
      </c>
      <c r="M117" s="3">
        <v>30</v>
      </c>
      <c r="N117" s="3">
        <v>0</v>
      </c>
      <c r="O117" s="3">
        <v>0</v>
      </c>
      <c r="P117" s="3">
        <v>0</v>
      </c>
      <c r="Q117" s="3">
        <v>0</v>
      </c>
      <c r="R117" s="3">
        <v>1</v>
      </c>
    </row>
    <row r="118" spans="1:18" x14ac:dyDescent="0.25">
      <c r="A118" s="2" t="s">
        <v>6</v>
      </c>
      <c r="B118" s="3">
        <v>21</v>
      </c>
      <c r="C118" s="3">
        <v>68</v>
      </c>
      <c r="D118" s="3">
        <v>0</v>
      </c>
      <c r="E118" s="3">
        <v>0</v>
      </c>
      <c r="F118" s="3">
        <v>4</v>
      </c>
      <c r="G118" s="3">
        <v>0</v>
      </c>
      <c r="H118" s="3">
        <v>0</v>
      </c>
      <c r="I118" s="3">
        <v>0</v>
      </c>
      <c r="J118" s="3">
        <v>2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 x14ac:dyDescent="0.25">
      <c r="A119" s="2" t="s">
        <v>7</v>
      </c>
      <c r="B119" s="3">
        <v>210</v>
      </c>
      <c r="C119" s="3">
        <v>118</v>
      </c>
      <c r="D119" s="3">
        <v>0</v>
      </c>
      <c r="E119" s="3">
        <v>0</v>
      </c>
      <c r="F119" s="3">
        <v>0</v>
      </c>
      <c r="G119" s="3">
        <v>17</v>
      </c>
      <c r="H119" s="3">
        <v>1</v>
      </c>
      <c r="I119" s="3">
        <v>4</v>
      </c>
      <c r="J119" s="3">
        <v>5</v>
      </c>
      <c r="K119" s="3">
        <v>2</v>
      </c>
      <c r="L119" s="3">
        <v>0</v>
      </c>
      <c r="M119" s="3">
        <v>0</v>
      </c>
      <c r="N119" s="3">
        <v>2</v>
      </c>
      <c r="O119" s="3">
        <v>0</v>
      </c>
      <c r="P119" s="3">
        <v>0</v>
      </c>
      <c r="Q119" s="3">
        <v>0</v>
      </c>
      <c r="R119" s="3">
        <v>0</v>
      </c>
    </row>
    <row r="120" spans="1:18" x14ac:dyDescent="0.25">
      <c r="A120" s="2" t="s">
        <v>8</v>
      </c>
      <c r="B120" s="3">
        <v>25</v>
      </c>
      <c r="C120" s="3">
        <v>31</v>
      </c>
      <c r="D120" s="3">
        <v>2</v>
      </c>
      <c r="E120" s="3">
        <v>2</v>
      </c>
      <c r="F120" s="3">
        <v>17</v>
      </c>
      <c r="G120" s="3">
        <v>0</v>
      </c>
      <c r="H120" s="3">
        <v>22</v>
      </c>
      <c r="I120" s="3">
        <v>3</v>
      </c>
      <c r="J120" s="3">
        <v>0</v>
      </c>
      <c r="K120" s="3">
        <v>0</v>
      </c>
      <c r="L120" s="3">
        <v>0</v>
      </c>
      <c r="M120" s="3">
        <v>3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 x14ac:dyDescent="0.25">
      <c r="A121" s="2" t="s">
        <v>9</v>
      </c>
      <c r="B121" s="3">
        <v>14</v>
      </c>
      <c r="C121" s="3">
        <v>29</v>
      </c>
      <c r="D121" s="3">
        <v>0</v>
      </c>
      <c r="E121" s="3">
        <v>0</v>
      </c>
      <c r="F121" s="3">
        <v>2</v>
      </c>
      <c r="G121" s="3">
        <v>20</v>
      </c>
      <c r="H121" s="3">
        <v>0</v>
      </c>
      <c r="I121" s="3">
        <v>3</v>
      </c>
      <c r="J121" s="3">
        <v>8</v>
      </c>
      <c r="K121" s="3">
        <v>1</v>
      </c>
      <c r="L121" s="3">
        <v>0</v>
      </c>
      <c r="M121" s="3">
        <v>2</v>
      </c>
      <c r="N121" s="3">
        <v>3</v>
      </c>
      <c r="O121" s="3">
        <v>3</v>
      </c>
      <c r="P121" s="3">
        <v>0</v>
      </c>
      <c r="Q121" s="3">
        <v>0</v>
      </c>
      <c r="R121" s="3">
        <v>0</v>
      </c>
    </row>
    <row r="122" spans="1:18" x14ac:dyDescent="0.25">
      <c r="A122" s="2" t="s">
        <v>10</v>
      </c>
      <c r="B122" s="3">
        <v>19</v>
      </c>
      <c r="C122" s="3">
        <v>66</v>
      </c>
      <c r="D122" s="3">
        <v>12</v>
      </c>
      <c r="E122" s="3">
        <v>0</v>
      </c>
      <c r="F122" s="3">
        <v>3</v>
      </c>
      <c r="G122" s="3">
        <v>1</v>
      </c>
      <c r="H122" s="3">
        <v>5</v>
      </c>
      <c r="I122" s="3">
        <v>0</v>
      </c>
      <c r="J122" s="3">
        <v>58</v>
      </c>
      <c r="K122" s="3">
        <v>3</v>
      </c>
      <c r="L122" s="3">
        <v>4</v>
      </c>
      <c r="M122" s="3">
        <v>9</v>
      </c>
      <c r="N122" s="3">
        <v>2</v>
      </c>
      <c r="O122" s="3">
        <v>4</v>
      </c>
      <c r="P122" s="3">
        <v>1</v>
      </c>
      <c r="Q122" s="3">
        <v>0</v>
      </c>
      <c r="R122" s="3">
        <v>7</v>
      </c>
    </row>
    <row r="123" spans="1:18" x14ac:dyDescent="0.25">
      <c r="A123" s="2" t="s">
        <v>11</v>
      </c>
      <c r="B123" s="3">
        <v>22</v>
      </c>
      <c r="C123" s="3">
        <v>65</v>
      </c>
      <c r="D123" s="3">
        <v>45</v>
      </c>
      <c r="E123" s="3">
        <v>0</v>
      </c>
      <c r="F123" s="3">
        <v>8</v>
      </c>
      <c r="G123" s="3">
        <v>8</v>
      </c>
      <c r="H123" s="3">
        <v>4</v>
      </c>
      <c r="I123" s="3">
        <v>51</v>
      </c>
      <c r="J123" s="3">
        <v>0</v>
      </c>
      <c r="K123" s="3">
        <v>16</v>
      </c>
      <c r="L123" s="3">
        <v>0</v>
      </c>
      <c r="M123" s="3">
        <v>0</v>
      </c>
      <c r="N123" s="3">
        <v>7</v>
      </c>
      <c r="O123" s="3">
        <v>0</v>
      </c>
      <c r="P123" s="3">
        <v>2</v>
      </c>
      <c r="Q123" s="3">
        <v>5</v>
      </c>
      <c r="R123" s="3">
        <v>14</v>
      </c>
    </row>
    <row r="124" spans="1:18" x14ac:dyDescent="0.25">
      <c r="A124" s="2" t="s">
        <v>12</v>
      </c>
      <c r="B124" s="3">
        <v>9</v>
      </c>
      <c r="C124" s="3">
        <v>11</v>
      </c>
      <c r="D124" s="3">
        <v>5</v>
      </c>
      <c r="E124" s="3">
        <v>0</v>
      </c>
      <c r="F124" s="3">
        <v>2</v>
      </c>
      <c r="G124" s="3">
        <v>0</v>
      </c>
      <c r="H124" s="3">
        <v>1</v>
      </c>
      <c r="I124" s="3">
        <v>2</v>
      </c>
      <c r="J124" s="3">
        <v>17</v>
      </c>
      <c r="K124" s="3">
        <v>0</v>
      </c>
      <c r="L124" s="3">
        <v>5</v>
      </c>
      <c r="M124" s="3">
        <v>2</v>
      </c>
      <c r="N124" s="3">
        <v>7</v>
      </c>
      <c r="O124" s="3">
        <v>1</v>
      </c>
      <c r="P124" s="3">
        <v>0</v>
      </c>
      <c r="Q124" s="3">
        <v>0</v>
      </c>
      <c r="R124" s="3">
        <v>9</v>
      </c>
    </row>
    <row r="125" spans="1:18" x14ac:dyDescent="0.25">
      <c r="A125" s="2" t="s">
        <v>13</v>
      </c>
      <c r="B125" s="3">
        <v>0</v>
      </c>
      <c r="C125" s="3">
        <v>3</v>
      </c>
      <c r="D125" s="3">
        <v>29</v>
      </c>
      <c r="E125" s="3">
        <v>0</v>
      </c>
      <c r="F125" s="3">
        <v>0</v>
      </c>
      <c r="G125" s="3">
        <v>0</v>
      </c>
      <c r="H125" s="3">
        <v>0</v>
      </c>
      <c r="I125" s="3">
        <v>1</v>
      </c>
      <c r="J125" s="3">
        <v>3</v>
      </c>
      <c r="K125" s="3">
        <v>3</v>
      </c>
      <c r="L125" s="3">
        <v>0</v>
      </c>
      <c r="M125" s="3">
        <v>4</v>
      </c>
      <c r="N125" s="3">
        <v>1</v>
      </c>
      <c r="O125" s="3">
        <v>0</v>
      </c>
      <c r="P125" s="3">
        <v>0</v>
      </c>
      <c r="Q125" s="3">
        <v>0</v>
      </c>
      <c r="R125" s="3">
        <v>0</v>
      </c>
    </row>
    <row r="126" spans="1:18" x14ac:dyDescent="0.25">
      <c r="A126" s="2" t="s">
        <v>14</v>
      </c>
      <c r="B126" s="3">
        <v>6</v>
      </c>
      <c r="C126" s="3">
        <v>5</v>
      </c>
      <c r="D126" s="3">
        <v>17</v>
      </c>
      <c r="E126" s="3">
        <v>0</v>
      </c>
      <c r="F126" s="3">
        <v>7</v>
      </c>
      <c r="G126" s="3">
        <v>0</v>
      </c>
      <c r="H126" s="3">
        <v>1</v>
      </c>
      <c r="I126" s="3">
        <v>0</v>
      </c>
      <c r="J126" s="3">
        <v>3</v>
      </c>
      <c r="K126" s="3">
        <v>0</v>
      </c>
      <c r="L126" s="3">
        <v>4</v>
      </c>
      <c r="M126" s="3">
        <v>0</v>
      </c>
      <c r="N126" s="3">
        <v>3</v>
      </c>
      <c r="O126" s="3">
        <v>0</v>
      </c>
      <c r="P126" s="3">
        <v>0</v>
      </c>
      <c r="Q126" s="3">
        <v>0</v>
      </c>
      <c r="R126" s="3">
        <v>3</v>
      </c>
    </row>
    <row r="127" spans="1:18" x14ac:dyDescent="0.25">
      <c r="A127" s="2" t="s">
        <v>15</v>
      </c>
      <c r="B127" s="3">
        <v>4</v>
      </c>
      <c r="C127" s="3">
        <v>8</v>
      </c>
      <c r="D127" s="3">
        <v>4</v>
      </c>
      <c r="E127" s="3">
        <v>0</v>
      </c>
      <c r="F127" s="3">
        <v>2</v>
      </c>
      <c r="G127" s="3">
        <v>0</v>
      </c>
      <c r="H127" s="3">
        <v>0</v>
      </c>
      <c r="I127" s="3">
        <v>4</v>
      </c>
      <c r="J127" s="3">
        <v>11</v>
      </c>
      <c r="K127" s="3">
        <v>9</v>
      </c>
      <c r="L127" s="3">
        <v>1</v>
      </c>
      <c r="M127" s="3">
        <v>3</v>
      </c>
      <c r="N127" s="3">
        <v>0</v>
      </c>
      <c r="O127" s="3">
        <v>0</v>
      </c>
      <c r="P127" s="3">
        <v>0</v>
      </c>
      <c r="Q127" s="3">
        <v>10</v>
      </c>
      <c r="R127" s="3">
        <v>1</v>
      </c>
    </row>
    <row r="128" spans="1:18" x14ac:dyDescent="0.25">
      <c r="A128" s="2" t="s">
        <v>16</v>
      </c>
      <c r="B128" s="3">
        <v>1</v>
      </c>
      <c r="C128" s="3">
        <v>4</v>
      </c>
      <c r="D128" s="3">
        <v>2</v>
      </c>
      <c r="E128" s="3">
        <v>0</v>
      </c>
      <c r="F128" s="3">
        <v>0</v>
      </c>
      <c r="G128" s="3">
        <v>1</v>
      </c>
      <c r="H128" s="3">
        <v>0</v>
      </c>
      <c r="I128" s="3">
        <v>0</v>
      </c>
      <c r="J128" s="3">
        <v>1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2</v>
      </c>
      <c r="R128" s="3">
        <v>0</v>
      </c>
    </row>
    <row r="129" spans="1:18" x14ac:dyDescent="0.25">
      <c r="A129" s="2" t="s">
        <v>17</v>
      </c>
      <c r="B129" s="3">
        <v>1</v>
      </c>
      <c r="C129" s="3">
        <v>0</v>
      </c>
      <c r="D129" s="3">
        <v>0</v>
      </c>
      <c r="E129" s="3">
        <v>0</v>
      </c>
      <c r="F129" s="3">
        <v>0</v>
      </c>
      <c r="G129" s="3">
        <v>1</v>
      </c>
      <c r="H129" s="3">
        <v>0</v>
      </c>
      <c r="I129" s="3">
        <v>2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 x14ac:dyDescent="0.25">
      <c r="A130" s="2" t="s">
        <v>18</v>
      </c>
      <c r="B130" s="3">
        <v>3</v>
      </c>
      <c r="C130" s="3">
        <v>5</v>
      </c>
      <c r="D130" s="3">
        <v>3</v>
      </c>
      <c r="E130" s="3">
        <v>0</v>
      </c>
      <c r="F130" s="3">
        <v>4</v>
      </c>
      <c r="G130" s="3">
        <v>0</v>
      </c>
      <c r="H130" s="3">
        <v>0</v>
      </c>
      <c r="I130" s="3">
        <v>0</v>
      </c>
      <c r="J130" s="3">
        <v>5</v>
      </c>
      <c r="K130" s="3">
        <v>3</v>
      </c>
      <c r="L130" s="3">
        <v>0</v>
      </c>
      <c r="M130" s="3">
        <v>0</v>
      </c>
      <c r="N130" s="3">
        <v>10</v>
      </c>
      <c r="O130" s="3">
        <v>0</v>
      </c>
      <c r="P130" s="3">
        <v>0</v>
      </c>
      <c r="Q130" s="3">
        <v>0</v>
      </c>
      <c r="R130" s="3">
        <v>3</v>
      </c>
    </row>
    <row r="131" spans="1:18" x14ac:dyDescent="0.25">
      <c r="A131" s="2" t="s">
        <v>19</v>
      </c>
      <c r="B131" s="3">
        <v>7</v>
      </c>
      <c r="C131" s="3">
        <v>24</v>
      </c>
      <c r="D131" s="3">
        <v>1</v>
      </c>
      <c r="E131" s="3">
        <v>3</v>
      </c>
      <c r="F131" s="3">
        <v>6</v>
      </c>
      <c r="G131" s="3">
        <v>3</v>
      </c>
      <c r="H131" s="3">
        <v>0</v>
      </c>
      <c r="I131" s="3">
        <v>9</v>
      </c>
      <c r="J131" s="3">
        <v>11</v>
      </c>
      <c r="K131" s="3">
        <v>2</v>
      </c>
      <c r="L131" s="3">
        <v>0</v>
      </c>
      <c r="M131" s="3">
        <v>6</v>
      </c>
      <c r="N131" s="3">
        <v>2</v>
      </c>
      <c r="O131" s="3">
        <v>0</v>
      </c>
      <c r="P131" s="3">
        <v>2</v>
      </c>
      <c r="Q131" s="3">
        <v>11</v>
      </c>
      <c r="R131" s="3">
        <v>0</v>
      </c>
    </row>
    <row r="132" spans="1:18" x14ac:dyDescent="0.25">
      <c r="A132" s="2" t="s">
        <v>124</v>
      </c>
      <c r="B132" s="3">
        <v>6</v>
      </c>
      <c r="C132" s="3">
        <v>3</v>
      </c>
      <c r="D132" s="3">
        <v>0</v>
      </c>
      <c r="E132" s="3">
        <v>0</v>
      </c>
      <c r="F132" s="3">
        <v>3</v>
      </c>
      <c r="G132" s="3">
        <v>8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3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</row>
    <row r="133" spans="1:18" x14ac:dyDescent="0.25">
      <c r="A133" s="2" t="s">
        <v>125</v>
      </c>
      <c r="B133" s="3">
        <v>8</v>
      </c>
      <c r="C133" s="3">
        <v>12</v>
      </c>
      <c r="D133" s="3">
        <v>3</v>
      </c>
      <c r="E133" s="3">
        <v>0</v>
      </c>
      <c r="F133" s="3">
        <v>2</v>
      </c>
      <c r="G133" s="3">
        <v>1</v>
      </c>
      <c r="H133" s="3">
        <v>2</v>
      </c>
      <c r="I133" s="3">
        <v>0</v>
      </c>
      <c r="J133" s="3">
        <v>2</v>
      </c>
      <c r="K133" s="3">
        <v>0</v>
      </c>
      <c r="L133" s="3">
        <v>0</v>
      </c>
      <c r="M133" s="3">
        <v>3</v>
      </c>
      <c r="N133" s="3">
        <v>0</v>
      </c>
      <c r="O133" s="3">
        <v>1</v>
      </c>
      <c r="P133" s="3">
        <v>2</v>
      </c>
      <c r="Q133" s="3">
        <v>0</v>
      </c>
      <c r="R133" s="3">
        <v>1</v>
      </c>
    </row>
    <row r="134" spans="1:18" x14ac:dyDescent="0.25">
      <c r="A134" s="2" t="s">
        <v>126</v>
      </c>
      <c r="B134" s="3">
        <v>11</v>
      </c>
      <c r="C134" s="3">
        <v>18</v>
      </c>
      <c r="D134" s="3">
        <v>5</v>
      </c>
      <c r="E134" s="3">
        <v>0</v>
      </c>
      <c r="F134" s="3">
        <v>4</v>
      </c>
      <c r="G134" s="3">
        <v>7</v>
      </c>
      <c r="H134" s="3">
        <v>0</v>
      </c>
      <c r="I134" s="3">
        <v>2</v>
      </c>
      <c r="J134" s="3">
        <v>4</v>
      </c>
      <c r="K134" s="3">
        <v>3</v>
      </c>
      <c r="L134" s="3">
        <v>0</v>
      </c>
      <c r="M134" s="3">
        <v>0</v>
      </c>
      <c r="N134" s="3">
        <v>1</v>
      </c>
      <c r="O134" s="3">
        <v>4</v>
      </c>
      <c r="P134" s="3">
        <v>1</v>
      </c>
      <c r="Q134" s="3">
        <v>1</v>
      </c>
      <c r="R134" s="3">
        <v>5</v>
      </c>
    </row>
    <row r="135" spans="1:18" x14ac:dyDescent="0.25">
      <c r="A135" s="2" t="s">
        <v>127</v>
      </c>
      <c r="B135" s="3">
        <v>32</v>
      </c>
      <c r="C135" s="3">
        <v>71</v>
      </c>
      <c r="D135" s="3">
        <v>8</v>
      </c>
      <c r="E135" s="3">
        <v>0</v>
      </c>
      <c r="F135" s="3">
        <v>14</v>
      </c>
      <c r="G135" s="3">
        <v>17</v>
      </c>
      <c r="H135" s="3">
        <v>7</v>
      </c>
      <c r="I135" s="3">
        <v>10</v>
      </c>
      <c r="J135" s="3">
        <v>11</v>
      </c>
      <c r="K135" s="3">
        <v>0</v>
      </c>
      <c r="L135" s="3">
        <v>5</v>
      </c>
      <c r="M135" s="3">
        <v>3</v>
      </c>
      <c r="N135" s="3">
        <v>4</v>
      </c>
      <c r="O135" s="3">
        <v>1</v>
      </c>
      <c r="P135" s="3">
        <v>4</v>
      </c>
      <c r="Q135" s="3">
        <v>3</v>
      </c>
      <c r="R135" s="3">
        <v>8</v>
      </c>
    </row>
    <row r="136" spans="1:18" x14ac:dyDescent="0.25">
      <c r="A136" s="2" t="s">
        <v>128</v>
      </c>
      <c r="B136" s="3">
        <v>3</v>
      </c>
      <c r="C136" s="3">
        <v>2</v>
      </c>
      <c r="D136" s="3">
        <v>1</v>
      </c>
      <c r="E136" s="3">
        <v>0</v>
      </c>
      <c r="F136" s="3">
        <v>0</v>
      </c>
      <c r="G136" s="3">
        <v>6</v>
      </c>
      <c r="H136" s="3">
        <v>0</v>
      </c>
      <c r="I136" s="3">
        <v>0</v>
      </c>
      <c r="J136" s="3">
        <v>3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 x14ac:dyDescent="0.25">
      <c r="A137" s="2" t="s">
        <v>129</v>
      </c>
      <c r="B137" s="3">
        <v>1</v>
      </c>
      <c r="C137" s="3">
        <v>0</v>
      </c>
      <c r="D137" s="3">
        <v>3</v>
      </c>
      <c r="E137" s="3">
        <v>0</v>
      </c>
      <c r="F137" s="3">
        <v>3</v>
      </c>
      <c r="G137" s="3">
        <v>0</v>
      </c>
      <c r="H137" s="3">
        <v>0</v>
      </c>
      <c r="I137" s="3">
        <v>0</v>
      </c>
      <c r="J137" s="3">
        <v>0</v>
      </c>
      <c r="K137" s="3">
        <v>1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 x14ac:dyDescent="0.25">
      <c r="A138" s="2" t="s">
        <v>130</v>
      </c>
      <c r="B138" s="3">
        <v>0</v>
      </c>
      <c r="C138" s="3">
        <v>2</v>
      </c>
      <c r="D138" s="3">
        <v>0</v>
      </c>
      <c r="E138" s="3">
        <v>3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 x14ac:dyDescent="0.25">
      <c r="A139" s="2" t="s">
        <v>131</v>
      </c>
      <c r="B139" s="3">
        <v>2</v>
      </c>
      <c r="C139" s="3">
        <v>2</v>
      </c>
      <c r="D139" s="3">
        <v>0</v>
      </c>
      <c r="E139" s="3">
        <v>0</v>
      </c>
      <c r="F139" s="3">
        <v>0</v>
      </c>
      <c r="G139" s="3">
        <v>8</v>
      </c>
      <c r="H139" s="3">
        <v>4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2</v>
      </c>
      <c r="P139" s="3">
        <v>0</v>
      </c>
      <c r="Q139" s="3">
        <v>0</v>
      </c>
      <c r="R139" s="3">
        <v>0</v>
      </c>
    </row>
    <row r="140" spans="1:18" x14ac:dyDescent="0.25">
      <c r="A140" s="2" t="s">
        <v>132</v>
      </c>
      <c r="B140" s="3">
        <v>1</v>
      </c>
      <c r="C140" s="3">
        <v>0</v>
      </c>
      <c r="D140" s="3">
        <v>0</v>
      </c>
      <c r="E140" s="3">
        <v>0</v>
      </c>
      <c r="F140" s="3">
        <v>0</v>
      </c>
      <c r="G140" s="3">
        <v>2</v>
      </c>
      <c r="H140" s="3">
        <v>2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3</v>
      </c>
      <c r="Q140" s="3">
        <v>3</v>
      </c>
      <c r="R140" s="3">
        <v>0</v>
      </c>
    </row>
    <row r="141" spans="1:18" x14ac:dyDescent="0.25">
      <c r="A141" s="2" t="s">
        <v>133</v>
      </c>
      <c r="B141" s="3">
        <v>3</v>
      </c>
      <c r="C141" s="3">
        <v>0</v>
      </c>
      <c r="D141" s="3">
        <v>0</v>
      </c>
      <c r="E141" s="3">
        <v>0</v>
      </c>
      <c r="F141" s="3">
        <v>6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 x14ac:dyDescent="0.25">
      <c r="A142" s="2" t="s">
        <v>134</v>
      </c>
      <c r="B142" s="3">
        <v>1</v>
      </c>
      <c r="C142" s="3">
        <v>5</v>
      </c>
      <c r="D142" s="3">
        <v>3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1</v>
      </c>
      <c r="K142" s="3">
        <v>2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 x14ac:dyDescent="0.25">
      <c r="A143" s="2" t="s">
        <v>135</v>
      </c>
      <c r="B143" s="3">
        <v>3</v>
      </c>
      <c r="C143" s="3">
        <v>5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3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x14ac:dyDescent="0.25">
      <c r="A144" s="2" t="s">
        <v>136</v>
      </c>
      <c r="B144" s="3">
        <v>0</v>
      </c>
      <c r="C144" s="3">
        <v>1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 x14ac:dyDescent="0.25">
      <c r="A145" s="2" t="s">
        <v>137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2</v>
      </c>
      <c r="J145" s="3">
        <v>2</v>
      </c>
      <c r="K145" s="3">
        <v>4</v>
      </c>
      <c r="L145" s="3">
        <v>0</v>
      </c>
      <c r="M145" s="3">
        <v>2</v>
      </c>
      <c r="N145" s="3">
        <v>0</v>
      </c>
      <c r="O145" s="3">
        <v>3</v>
      </c>
      <c r="P145" s="3">
        <v>0</v>
      </c>
      <c r="Q145" s="3">
        <v>0</v>
      </c>
      <c r="R145" s="3">
        <v>0</v>
      </c>
    </row>
    <row r="146" spans="1:18" x14ac:dyDescent="0.25">
      <c r="A146" s="2" t="s">
        <v>138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 x14ac:dyDescent="0.25">
      <c r="A147" s="2" t="s">
        <v>139</v>
      </c>
      <c r="B147" s="3">
        <v>0</v>
      </c>
      <c r="C147" s="3">
        <v>4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2</v>
      </c>
      <c r="R147" s="3">
        <v>0</v>
      </c>
    </row>
    <row r="148" spans="1:18" x14ac:dyDescent="0.25">
      <c r="A148" s="2" t="s">
        <v>140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</row>
    <row r="149" spans="1:18" x14ac:dyDescent="0.25">
      <c r="A149" s="2" t="s">
        <v>141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 x14ac:dyDescent="0.25">
      <c r="A150" s="2" t="s">
        <v>142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2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1</v>
      </c>
    </row>
    <row r="151" spans="1:18" x14ac:dyDescent="0.25">
      <c r="A151" s="2" t="s">
        <v>143</v>
      </c>
      <c r="B151" s="3">
        <v>1</v>
      </c>
      <c r="C151" s="3">
        <v>3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6</v>
      </c>
      <c r="J151" s="3">
        <v>0</v>
      </c>
      <c r="K151" s="3">
        <v>1</v>
      </c>
      <c r="L151" s="3">
        <v>0</v>
      </c>
      <c r="M151" s="3">
        <v>1</v>
      </c>
      <c r="N151" s="3">
        <v>0</v>
      </c>
      <c r="O151" s="3">
        <v>0</v>
      </c>
      <c r="P151" s="3">
        <v>0</v>
      </c>
      <c r="Q151" s="3">
        <v>0</v>
      </c>
      <c r="R151" s="3">
        <v>2</v>
      </c>
    </row>
    <row r="152" spans="1:18" x14ac:dyDescent="0.25">
      <c r="A152" s="2" t="s">
        <v>144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</row>
    <row r="153" spans="1:18" x14ac:dyDescent="0.25">
      <c r="A153" s="2" t="s">
        <v>145</v>
      </c>
      <c r="B153" s="3">
        <v>1</v>
      </c>
      <c r="C153" s="3">
        <v>3</v>
      </c>
      <c r="D153" s="3">
        <v>4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25">
      <c r="A154" s="2" t="s">
        <v>146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0</v>
      </c>
    </row>
    <row r="155" spans="1:18" x14ac:dyDescent="0.25">
      <c r="A155" s="2" t="s">
        <v>147</v>
      </c>
      <c r="B155" s="3">
        <v>0</v>
      </c>
      <c r="C155" s="3">
        <v>1</v>
      </c>
      <c r="D155" s="3">
        <v>3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2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x14ac:dyDescent="0.25">
      <c r="A156" s="2" t="s">
        <v>148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25">
      <c r="A157" s="2" t="s">
        <v>149</v>
      </c>
      <c r="B157" s="3">
        <v>0</v>
      </c>
      <c r="C157" s="3">
        <v>2</v>
      </c>
      <c r="D157" s="3">
        <v>0</v>
      </c>
      <c r="E157" s="3">
        <v>0</v>
      </c>
      <c r="F157" s="3">
        <v>0</v>
      </c>
      <c r="G157" s="3">
        <v>1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 x14ac:dyDescent="0.25">
      <c r="A158" s="2" t="s">
        <v>150</v>
      </c>
      <c r="B158" s="3">
        <v>8</v>
      </c>
      <c r="C158" s="3">
        <v>20</v>
      </c>
      <c r="D158" s="3">
        <v>9</v>
      </c>
      <c r="E158" s="3">
        <v>0</v>
      </c>
      <c r="F158" s="3">
        <v>8</v>
      </c>
      <c r="G158" s="3">
        <v>5</v>
      </c>
      <c r="H158" s="3">
        <v>0</v>
      </c>
      <c r="I158" s="3">
        <v>1</v>
      </c>
      <c r="J158" s="3">
        <v>2</v>
      </c>
      <c r="K158" s="3">
        <v>2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1</v>
      </c>
    </row>
    <row r="159" spans="1:18" x14ac:dyDescent="0.25">
      <c r="A159" s="2" t="s">
        <v>151</v>
      </c>
      <c r="B159" s="3">
        <v>4</v>
      </c>
      <c r="C159" s="3">
        <v>6</v>
      </c>
      <c r="D159" s="3">
        <v>0</v>
      </c>
      <c r="E159" s="3">
        <v>0</v>
      </c>
      <c r="F159" s="3">
        <v>1</v>
      </c>
      <c r="G159" s="3">
        <v>0</v>
      </c>
      <c r="H159" s="3">
        <v>1</v>
      </c>
      <c r="I159" s="3">
        <v>3</v>
      </c>
      <c r="J159" s="3">
        <v>3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</row>
    <row r="160" spans="1:18" x14ac:dyDescent="0.25">
      <c r="A160" s="2" t="s">
        <v>152</v>
      </c>
      <c r="B160" s="3">
        <v>7</v>
      </c>
      <c r="C160" s="3">
        <v>9</v>
      </c>
      <c r="D160" s="3">
        <v>2</v>
      </c>
      <c r="E160" s="3">
        <v>0</v>
      </c>
      <c r="F160" s="3">
        <v>0</v>
      </c>
      <c r="G160" s="3">
        <v>6</v>
      </c>
      <c r="H160" s="3">
        <v>2</v>
      </c>
      <c r="I160" s="3">
        <v>7</v>
      </c>
      <c r="J160" s="3">
        <v>2</v>
      </c>
      <c r="K160" s="3">
        <v>0</v>
      </c>
      <c r="L160" s="3">
        <v>0</v>
      </c>
      <c r="M160" s="3">
        <v>4</v>
      </c>
      <c r="N160" s="3">
        <v>1</v>
      </c>
      <c r="O160" s="3">
        <v>0</v>
      </c>
      <c r="P160" s="3">
        <v>0</v>
      </c>
      <c r="Q160" s="3">
        <v>0</v>
      </c>
      <c r="R160" s="3">
        <v>0</v>
      </c>
    </row>
    <row r="161" spans="1:18" x14ac:dyDescent="0.25">
      <c r="A161" s="2" t="s">
        <v>153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x14ac:dyDescent="0.25">
      <c r="A162" s="2" t="s">
        <v>154</v>
      </c>
      <c r="B162" s="3">
        <v>0</v>
      </c>
      <c r="C162" s="3">
        <v>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x14ac:dyDescent="0.25">
      <c r="A163" s="2" t="s">
        <v>155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2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25">
      <c r="A164" s="2" t="s">
        <v>156</v>
      </c>
      <c r="B164" s="3">
        <v>0</v>
      </c>
      <c r="C164" s="3">
        <v>1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1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2</v>
      </c>
    </row>
    <row r="165" spans="1:18" x14ac:dyDescent="0.25">
      <c r="A165" s="2" t="s">
        <v>157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2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4</v>
      </c>
      <c r="R165" s="3">
        <v>0</v>
      </c>
    </row>
    <row r="166" spans="1:18" x14ac:dyDescent="0.25">
      <c r="A166" s="2" t="s">
        <v>158</v>
      </c>
      <c r="B166" s="3">
        <v>2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2</v>
      </c>
      <c r="P166" s="3">
        <v>0</v>
      </c>
      <c r="Q166" s="3">
        <v>0</v>
      </c>
      <c r="R166" s="3">
        <v>0</v>
      </c>
    </row>
    <row r="167" spans="1:18" x14ac:dyDescent="0.25">
      <c r="A167" s="2" t="s">
        <v>159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2</v>
      </c>
      <c r="O167" s="3">
        <v>1</v>
      </c>
      <c r="P167" s="3">
        <v>0</v>
      </c>
      <c r="Q167" s="3">
        <v>0</v>
      </c>
      <c r="R167" s="3">
        <v>0</v>
      </c>
    </row>
    <row r="168" spans="1:18" x14ac:dyDescent="0.25">
      <c r="A168" s="2" t="s">
        <v>160</v>
      </c>
      <c r="B168" s="3">
        <v>3</v>
      </c>
      <c r="C168" s="3">
        <v>2</v>
      </c>
      <c r="D168" s="3">
        <v>0</v>
      </c>
      <c r="E168" s="3">
        <v>0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5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 x14ac:dyDescent="0.25">
      <c r="A169" s="2" t="s">
        <v>161</v>
      </c>
      <c r="B169" s="3">
        <v>0</v>
      </c>
      <c r="C169" s="3">
        <v>2</v>
      </c>
      <c r="D169" s="3">
        <v>2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x14ac:dyDescent="0.25">
      <c r="A170" s="2" t="s">
        <v>162</v>
      </c>
      <c r="B170" s="3">
        <v>3</v>
      </c>
      <c r="C170" s="3">
        <v>0</v>
      </c>
      <c r="D170" s="3">
        <v>0</v>
      </c>
      <c r="E170" s="3">
        <v>0</v>
      </c>
      <c r="F170" s="3">
        <v>2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25">
      <c r="A171" s="2" t="s">
        <v>163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</row>
    <row r="172" spans="1:18" x14ac:dyDescent="0.25">
      <c r="A172" s="2" t="s">
        <v>164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</row>
    <row r="173" spans="1:18" x14ac:dyDescent="0.25">
      <c r="A173" s="2" t="s">
        <v>165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</row>
    <row r="174" spans="1:18" x14ac:dyDescent="0.25">
      <c r="A174" s="2" t="s">
        <v>166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</row>
    <row r="175" spans="1:18" x14ac:dyDescent="0.25">
      <c r="A175" s="2" t="s">
        <v>167</v>
      </c>
      <c r="B175" s="3">
        <v>0</v>
      </c>
      <c r="C175" s="3">
        <v>1</v>
      </c>
      <c r="D175" s="3">
        <v>0</v>
      </c>
      <c r="E175" s="3">
        <v>0</v>
      </c>
      <c r="F175" s="3">
        <v>0</v>
      </c>
      <c r="G175" s="3">
        <v>2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</row>
    <row r="176" spans="1:18" x14ac:dyDescent="0.25">
      <c r="A176" s="2" t="s">
        <v>168</v>
      </c>
      <c r="B176" s="3">
        <v>3</v>
      </c>
      <c r="C176" s="3">
        <v>0</v>
      </c>
      <c r="D176" s="3">
        <v>0</v>
      </c>
      <c r="E176" s="3">
        <v>0</v>
      </c>
      <c r="F176" s="3">
        <v>0</v>
      </c>
      <c r="G176" s="3">
        <v>3</v>
      </c>
      <c r="H176" s="3">
        <v>2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x14ac:dyDescent="0.25">
      <c r="A177" s="2" t="s">
        <v>169</v>
      </c>
      <c r="B177" s="3">
        <v>0</v>
      </c>
      <c r="C177" s="3">
        <v>3</v>
      </c>
      <c r="D177" s="3">
        <v>1</v>
      </c>
      <c r="E177" s="3">
        <v>0</v>
      </c>
      <c r="F177" s="3">
        <v>0</v>
      </c>
      <c r="G177" s="3">
        <v>0</v>
      </c>
      <c r="H177" s="3">
        <v>5</v>
      </c>
      <c r="I177" s="3">
        <v>0</v>
      </c>
      <c r="J177" s="3">
        <v>1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 x14ac:dyDescent="0.25">
      <c r="A178" s="2" t="s">
        <v>170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x14ac:dyDescent="0.25">
      <c r="A179" s="2" t="s">
        <v>171</v>
      </c>
      <c r="B179" s="3">
        <v>0</v>
      </c>
      <c r="C179" s="3">
        <v>1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4</v>
      </c>
    </row>
    <row r="180" spans="1:18" x14ac:dyDescent="0.25">
      <c r="A180" s="2" t="s">
        <v>172</v>
      </c>
      <c r="B180" s="3">
        <v>27</v>
      </c>
      <c r="C180" s="3">
        <v>43</v>
      </c>
      <c r="D180" s="3">
        <v>5</v>
      </c>
      <c r="E180" s="3">
        <v>0</v>
      </c>
      <c r="F180" s="3">
        <v>9</v>
      </c>
      <c r="G180" s="3">
        <v>7</v>
      </c>
      <c r="H180" s="3">
        <v>0</v>
      </c>
      <c r="I180" s="3">
        <v>1</v>
      </c>
      <c r="J180" s="3">
        <v>10</v>
      </c>
      <c r="K180" s="3">
        <v>1</v>
      </c>
      <c r="L180" s="3">
        <v>0</v>
      </c>
      <c r="M180" s="3">
        <v>4</v>
      </c>
      <c r="N180" s="3">
        <v>5</v>
      </c>
      <c r="O180" s="3">
        <v>0</v>
      </c>
      <c r="P180" s="3">
        <v>0</v>
      </c>
      <c r="Q180" s="3">
        <v>0</v>
      </c>
      <c r="R180" s="3">
        <v>0</v>
      </c>
    </row>
    <row r="181" spans="1:18" x14ac:dyDescent="0.25">
      <c r="A181" s="2" t="s">
        <v>173</v>
      </c>
      <c r="B181" s="3">
        <v>2</v>
      </c>
      <c r="C181" s="3">
        <v>1</v>
      </c>
      <c r="D181" s="3">
        <v>0</v>
      </c>
      <c r="E181" s="3">
        <v>0</v>
      </c>
      <c r="F181" s="3">
        <v>1</v>
      </c>
      <c r="G181" s="3">
        <v>0</v>
      </c>
      <c r="H181" s="3">
        <v>0</v>
      </c>
      <c r="I181" s="3">
        <v>0</v>
      </c>
      <c r="J181" s="3">
        <v>3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25">
      <c r="A182" s="2" t="s">
        <v>174</v>
      </c>
      <c r="B182" s="3">
        <v>2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2</v>
      </c>
      <c r="Q182" s="3">
        <v>0</v>
      </c>
      <c r="R182" s="3">
        <v>0</v>
      </c>
    </row>
    <row r="183" spans="1:18" x14ac:dyDescent="0.25">
      <c r="A183" s="2" t="s">
        <v>175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 x14ac:dyDescent="0.25">
      <c r="A184" s="2" t="s">
        <v>176</v>
      </c>
      <c r="B184" s="3">
        <v>0</v>
      </c>
      <c r="C184" s="3">
        <v>1</v>
      </c>
      <c r="D184" s="3">
        <v>0</v>
      </c>
      <c r="E184" s="3">
        <v>0</v>
      </c>
      <c r="F184" s="3">
        <v>1</v>
      </c>
      <c r="G184" s="3">
        <v>4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 x14ac:dyDescent="0.25">
      <c r="A185" s="2" t="s">
        <v>177</v>
      </c>
      <c r="B185" s="3">
        <v>3</v>
      </c>
      <c r="C185" s="3">
        <v>2</v>
      </c>
      <c r="D185" s="3">
        <v>0</v>
      </c>
      <c r="E185" s="3">
        <v>0</v>
      </c>
      <c r="F185" s="3">
        <v>1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 x14ac:dyDescent="0.25">
      <c r="A186" s="2" t="s">
        <v>178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</row>
    <row r="187" spans="1:18" x14ac:dyDescent="0.25">
      <c r="A187" s="2" t="s">
        <v>179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</row>
    <row r="188" spans="1:18" x14ac:dyDescent="0.25">
      <c r="A188" s="2" t="s">
        <v>180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</row>
    <row r="189" spans="1:18" x14ac:dyDescent="0.25">
      <c r="A189" s="2" t="s">
        <v>181</v>
      </c>
      <c r="B189" s="3">
        <v>1</v>
      </c>
      <c r="C189" s="3">
        <v>2</v>
      </c>
      <c r="D189" s="3">
        <v>0</v>
      </c>
      <c r="E189" s="3">
        <v>0</v>
      </c>
      <c r="F189" s="3">
        <v>6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2</v>
      </c>
    </row>
    <row r="190" spans="1:18" x14ac:dyDescent="0.25">
      <c r="A190" s="2" t="s">
        <v>182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 x14ac:dyDescent="0.25">
      <c r="A191" s="2" t="s">
        <v>183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5">
      <c r="A192" s="2" t="s">
        <v>184</v>
      </c>
      <c r="B192" s="3">
        <v>7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 x14ac:dyDescent="0.25">
      <c r="A193" s="2" t="s">
        <v>185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25">
      <c r="A194" s="2" t="s">
        <v>186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 x14ac:dyDescent="0.25">
      <c r="A195" s="2" t="s">
        <v>187</v>
      </c>
      <c r="B195" s="3">
        <v>1</v>
      </c>
      <c r="C195" s="3">
        <v>2</v>
      </c>
      <c r="D195" s="3">
        <v>0</v>
      </c>
      <c r="E195" s="3">
        <v>0</v>
      </c>
      <c r="F195" s="3">
        <v>0</v>
      </c>
      <c r="G195" s="3">
        <v>1</v>
      </c>
      <c r="H195" s="3">
        <v>0</v>
      </c>
      <c r="I195" s="3">
        <v>3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 x14ac:dyDescent="0.25">
      <c r="A196" s="2" t="s">
        <v>188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25">
      <c r="A197" s="2" t="s">
        <v>189</v>
      </c>
      <c r="B197" s="3">
        <v>4</v>
      </c>
      <c r="C197" s="3">
        <v>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1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 x14ac:dyDescent="0.25">
      <c r="A198" s="2" t="s">
        <v>190</v>
      </c>
      <c r="B198" s="3">
        <v>1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3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3</v>
      </c>
    </row>
    <row r="199" spans="1:18" x14ac:dyDescent="0.25">
      <c r="A199" s="2" t="s">
        <v>191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</row>
    <row r="200" spans="1:18" x14ac:dyDescent="0.25">
      <c r="A200" s="2" t="s">
        <v>192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x14ac:dyDescent="0.25">
      <c r="A201" s="2" t="s">
        <v>193</v>
      </c>
      <c r="B201" s="3">
        <v>0</v>
      </c>
      <c r="C201" s="3">
        <v>2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 x14ac:dyDescent="0.25">
      <c r="A202" s="2" t="s">
        <v>194</v>
      </c>
      <c r="B202" s="3">
        <v>4</v>
      </c>
      <c r="C202" s="3">
        <v>0</v>
      </c>
      <c r="D202" s="3">
        <v>0</v>
      </c>
      <c r="E202" s="3">
        <v>0</v>
      </c>
      <c r="F202" s="3">
        <v>2</v>
      </c>
      <c r="G202" s="3">
        <v>2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2</v>
      </c>
    </row>
    <row r="203" spans="1:18" x14ac:dyDescent="0.25">
      <c r="A203" s="2" t="s">
        <v>195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</row>
    <row r="204" spans="1:18" x14ac:dyDescent="0.25">
      <c r="A204" s="2" t="s">
        <v>196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</row>
    <row r="205" spans="1:18" x14ac:dyDescent="0.25">
      <c r="A205" s="2" t="s">
        <v>197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25">
      <c r="A206" s="2" t="s">
        <v>198</v>
      </c>
      <c r="B206" s="3">
        <v>2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 x14ac:dyDescent="0.25">
      <c r="A207" s="2" t="s">
        <v>199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25">
      <c r="A208" s="2" t="s">
        <v>200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 x14ac:dyDescent="0.25">
      <c r="A209" s="2" t="s">
        <v>201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>
        <v>0</v>
      </c>
      <c r="P209" s="3">
        <v>2</v>
      </c>
      <c r="Q209" s="3">
        <v>0</v>
      </c>
      <c r="R209" s="3">
        <v>0</v>
      </c>
    </row>
    <row r="210" spans="1:18" x14ac:dyDescent="0.25">
      <c r="A210" s="2" t="s">
        <v>202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1</v>
      </c>
      <c r="N210" s="3">
        <v>0</v>
      </c>
      <c r="O210" s="3">
        <v>3</v>
      </c>
      <c r="P210" s="3">
        <v>0</v>
      </c>
      <c r="Q210" s="3">
        <v>0</v>
      </c>
      <c r="R210" s="3">
        <v>1</v>
      </c>
    </row>
    <row r="211" spans="1:18" x14ac:dyDescent="0.25">
      <c r="A211" s="2" t="s">
        <v>203</v>
      </c>
      <c r="B211" s="3">
        <v>0</v>
      </c>
      <c r="C211" s="3">
        <v>4</v>
      </c>
      <c r="D211" s="3">
        <v>2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1</v>
      </c>
    </row>
    <row r="212" spans="1:18" x14ac:dyDescent="0.25">
      <c r="A212" s="2" t="s">
        <v>204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2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</row>
    <row r="213" spans="1:18" x14ac:dyDescent="0.25">
      <c r="A213" s="2" t="s">
        <v>205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25">
      <c r="A214" s="2" t="s">
        <v>206</v>
      </c>
      <c r="B214" s="3">
        <v>0</v>
      </c>
      <c r="C214" s="3">
        <v>1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25">
      <c r="A215" s="2" t="s">
        <v>207</v>
      </c>
      <c r="B215" s="3">
        <v>2</v>
      </c>
      <c r="C215" s="3">
        <v>1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</row>
    <row r="216" spans="1:18" x14ac:dyDescent="0.25">
      <c r="A216" s="2" t="s">
        <v>208</v>
      </c>
      <c r="B216" s="3">
        <v>0</v>
      </c>
      <c r="C216" s="3">
        <v>0</v>
      </c>
      <c r="D216" s="3">
        <v>1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</row>
    <row r="217" spans="1:18" x14ac:dyDescent="0.25">
      <c r="A217" s="2" t="s">
        <v>209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</row>
    <row r="218" spans="1:18" x14ac:dyDescent="0.25">
      <c r="A218" s="2" t="s">
        <v>210</v>
      </c>
      <c r="B218" s="3">
        <v>4</v>
      </c>
      <c r="C218" s="3">
        <v>5</v>
      </c>
      <c r="D218" s="3">
        <v>0</v>
      </c>
      <c r="E218" s="3">
        <v>0</v>
      </c>
      <c r="F218" s="3">
        <v>1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1</v>
      </c>
    </row>
    <row r="219" spans="1:18" x14ac:dyDescent="0.25">
      <c r="A219" s="2" t="s">
        <v>211</v>
      </c>
      <c r="B219" s="3">
        <v>1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25">
      <c r="A220" s="2" t="s">
        <v>212</v>
      </c>
      <c r="B220" s="3">
        <v>0</v>
      </c>
      <c r="C220" s="3">
        <v>4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 x14ac:dyDescent="0.25">
      <c r="A221" s="2" t="s">
        <v>213</v>
      </c>
      <c r="B221" s="3">
        <v>0</v>
      </c>
      <c r="C221" s="3">
        <v>0</v>
      </c>
      <c r="D221" s="3">
        <v>0</v>
      </c>
      <c r="E221" s="3">
        <v>0</v>
      </c>
      <c r="F221" s="3">
        <v>1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</row>
    <row r="222" spans="1:18" x14ac:dyDescent="0.25">
      <c r="A222" s="2" t="s">
        <v>214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</row>
    <row r="223" spans="1:18" x14ac:dyDescent="0.25">
      <c r="A223" s="2" t="s">
        <v>215</v>
      </c>
      <c r="B223" s="3">
        <v>0</v>
      </c>
      <c r="C223" s="3">
        <v>0</v>
      </c>
      <c r="D223" s="3">
        <v>2</v>
      </c>
      <c r="E223" s="3">
        <v>0</v>
      </c>
      <c r="F223" s="3">
        <v>2</v>
      </c>
      <c r="G223" s="3">
        <v>0</v>
      </c>
      <c r="H223" s="3">
        <v>0</v>
      </c>
      <c r="I223" s="3">
        <v>0</v>
      </c>
      <c r="J223" s="3">
        <v>3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</row>
    <row r="224" spans="1:18" x14ac:dyDescent="0.25">
      <c r="A224" s="2" t="s">
        <v>216</v>
      </c>
      <c r="B224" s="3">
        <v>5</v>
      </c>
      <c r="C224" s="3">
        <v>5</v>
      </c>
      <c r="D224" s="3">
        <v>0</v>
      </c>
      <c r="E224" s="3">
        <v>0</v>
      </c>
      <c r="F224" s="3">
        <v>4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 x14ac:dyDescent="0.25">
      <c r="A225" s="2" t="s">
        <v>217</v>
      </c>
      <c r="B225" s="3">
        <v>6</v>
      </c>
      <c r="C225" s="3">
        <v>3</v>
      </c>
      <c r="D225" s="3">
        <v>0</v>
      </c>
      <c r="E225" s="3">
        <v>0</v>
      </c>
      <c r="F225" s="3">
        <v>6</v>
      </c>
      <c r="G225" s="3">
        <v>0</v>
      </c>
      <c r="H225" s="3">
        <v>0</v>
      </c>
      <c r="I225" s="3">
        <v>0</v>
      </c>
      <c r="J225" s="3">
        <v>2</v>
      </c>
      <c r="K225" s="3">
        <v>0</v>
      </c>
      <c r="L225" s="3">
        <v>2</v>
      </c>
      <c r="M225" s="3">
        <v>2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 x14ac:dyDescent="0.25">
      <c r="A226" s="2" t="s">
        <v>218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 x14ac:dyDescent="0.25">
      <c r="A227" s="2" t="s">
        <v>219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2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</row>
    <row r="228" spans="1:18" x14ac:dyDescent="0.25">
      <c r="A228" s="2" t="s">
        <v>220</v>
      </c>
      <c r="B228" s="3">
        <v>0</v>
      </c>
      <c r="C228" s="3">
        <v>3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 x14ac:dyDescent="0.25">
      <c r="A229" s="2" t="s">
        <v>221</v>
      </c>
      <c r="B229" s="3">
        <v>0</v>
      </c>
      <c r="C229" s="3">
        <v>6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1</v>
      </c>
      <c r="K229" s="3">
        <v>3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 x14ac:dyDescent="0.25">
      <c r="A230" s="2" t="s">
        <v>222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2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2</v>
      </c>
    </row>
    <row r="231" spans="1:18" x14ac:dyDescent="0.25">
      <c r="A231" s="2" t="s">
        <v>223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 x14ac:dyDescent="0.25">
      <c r="A232" s="2" t="s">
        <v>224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 x14ac:dyDescent="0.25">
      <c r="A233" s="2" t="s">
        <v>225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 x14ac:dyDescent="0.25">
      <c r="A234" s="2" t="s">
        <v>226</v>
      </c>
      <c r="B234" s="3">
        <v>0</v>
      </c>
      <c r="C234" s="3">
        <v>2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 x14ac:dyDescent="0.25">
      <c r="A235" s="2" t="s">
        <v>227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</row>
    <row r="236" spans="1:18" x14ac:dyDescent="0.25">
      <c r="A236" s="2" t="s">
        <v>228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1</v>
      </c>
      <c r="R236" s="3">
        <v>0</v>
      </c>
    </row>
    <row r="237" spans="1:18" x14ac:dyDescent="0.25">
      <c r="A237" s="2" t="s">
        <v>229</v>
      </c>
      <c r="B237" s="3">
        <v>2</v>
      </c>
      <c r="C237" s="3">
        <v>0</v>
      </c>
      <c r="D237" s="3">
        <v>0</v>
      </c>
      <c r="E237" s="3">
        <v>0</v>
      </c>
      <c r="F237" s="3">
        <v>2</v>
      </c>
      <c r="G237" s="3">
        <v>2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>
        <v>0</v>
      </c>
      <c r="P237" s="3">
        <v>0</v>
      </c>
      <c r="Q237" s="3">
        <v>0</v>
      </c>
      <c r="R237" s="3">
        <v>2</v>
      </c>
    </row>
    <row r="238" spans="1:18" x14ac:dyDescent="0.25">
      <c r="A238" s="2" t="s">
        <v>230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2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 x14ac:dyDescent="0.25">
      <c r="A239" s="2" t="s">
        <v>231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</row>
    <row r="240" spans="1:18" x14ac:dyDescent="0.25">
      <c r="A240" s="2" t="s">
        <v>232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</row>
    <row r="241" spans="1:18" x14ac:dyDescent="0.25">
      <c r="A241" s="2" t="s">
        <v>233</v>
      </c>
      <c r="B241" s="3">
        <v>0</v>
      </c>
      <c r="C241" s="3">
        <v>0</v>
      </c>
      <c r="D241" s="3">
        <v>2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 x14ac:dyDescent="0.25">
      <c r="A242" s="2" t="s">
        <v>234</v>
      </c>
      <c r="B242" s="3">
        <v>4</v>
      </c>
      <c r="C242" s="3">
        <v>0</v>
      </c>
      <c r="D242" s="3">
        <v>0</v>
      </c>
      <c r="E242" s="3">
        <v>0</v>
      </c>
      <c r="F242" s="3">
        <v>0</v>
      </c>
      <c r="G242" s="3">
        <v>2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25">
      <c r="A243" s="2" t="s">
        <v>235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 x14ac:dyDescent="0.25">
      <c r="A244" s="2" t="s">
        <v>236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25">
      <c r="A245" s="2" t="s">
        <v>237</v>
      </c>
      <c r="B245" s="3">
        <v>1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25">
      <c r="A246" s="2" t="s">
        <v>238</v>
      </c>
      <c r="B246" s="3">
        <v>5</v>
      </c>
      <c r="C246" s="3">
        <v>3</v>
      </c>
      <c r="D246" s="3">
        <v>4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2</v>
      </c>
      <c r="K246" s="3">
        <v>1</v>
      </c>
      <c r="L246" s="3">
        <v>0</v>
      </c>
      <c r="M246" s="3">
        <v>0</v>
      </c>
      <c r="N246" s="3">
        <v>0</v>
      </c>
      <c r="O246" s="3">
        <v>0</v>
      </c>
      <c r="P246" s="3">
        <v>2</v>
      </c>
      <c r="Q246" s="3">
        <v>0</v>
      </c>
      <c r="R246" s="3">
        <v>0</v>
      </c>
    </row>
    <row r="247" spans="1:18" x14ac:dyDescent="0.25">
      <c r="A247" s="2" t="s">
        <v>239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 x14ac:dyDescent="0.25">
      <c r="A248" s="2" t="s">
        <v>240</v>
      </c>
      <c r="B248" s="3">
        <v>1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 x14ac:dyDescent="0.25">
      <c r="A249" s="2" t="s">
        <v>241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 x14ac:dyDescent="0.25">
      <c r="A250" s="2" t="s">
        <v>242</v>
      </c>
      <c r="B250" s="3">
        <v>36</v>
      </c>
      <c r="C250" s="3">
        <v>37</v>
      </c>
      <c r="D250" s="3">
        <v>6</v>
      </c>
      <c r="E250" s="3">
        <v>2</v>
      </c>
      <c r="F250" s="3">
        <v>8</v>
      </c>
      <c r="G250" s="3">
        <v>9</v>
      </c>
      <c r="H250" s="3">
        <v>0</v>
      </c>
      <c r="I250" s="3">
        <v>0</v>
      </c>
      <c r="J250" s="3">
        <v>14</v>
      </c>
      <c r="K250" s="3">
        <v>2</v>
      </c>
      <c r="L250" s="3">
        <v>0</v>
      </c>
      <c r="M250" s="3">
        <v>5</v>
      </c>
      <c r="N250" s="3">
        <v>0</v>
      </c>
      <c r="O250" s="3">
        <v>0</v>
      </c>
      <c r="P250" s="3">
        <v>0</v>
      </c>
      <c r="Q250" s="3">
        <v>2</v>
      </c>
      <c r="R250" s="3">
        <v>0</v>
      </c>
    </row>
    <row r="251" spans="1:18" x14ac:dyDescent="0.25">
      <c r="A251" s="2" t="s">
        <v>243</v>
      </c>
      <c r="B251" s="3">
        <v>2</v>
      </c>
      <c r="C251" s="3">
        <v>1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</row>
    <row r="252" spans="1:18" x14ac:dyDescent="0.25">
      <c r="A252" s="2" t="s">
        <v>244</v>
      </c>
      <c r="B252" s="3">
        <v>3</v>
      </c>
      <c r="C252" s="3">
        <v>7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</row>
    <row r="253" spans="1:18" x14ac:dyDescent="0.25">
      <c r="A253" s="2" t="s">
        <v>245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</row>
    <row r="254" spans="1:18" x14ac:dyDescent="0.25">
      <c r="A254" s="2" t="s">
        <v>246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</row>
    <row r="255" spans="1:18" x14ac:dyDescent="0.25">
      <c r="A255" s="2" t="s">
        <v>247</v>
      </c>
      <c r="B255" s="3">
        <v>0</v>
      </c>
      <c r="C255" s="3">
        <v>1</v>
      </c>
      <c r="D255" s="3">
        <v>6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5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 x14ac:dyDescent="0.25">
      <c r="A256" s="2" t="s">
        <v>248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 x14ac:dyDescent="0.25">
      <c r="A257" s="2" t="s">
        <v>249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2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</row>
    <row r="258" spans="1:18" x14ac:dyDescent="0.25">
      <c r="A258" s="2" t="s">
        <v>250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</row>
    <row r="259" spans="1:18" x14ac:dyDescent="0.25">
      <c r="A259" s="2" t="s">
        <v>251</v>
      </c>
      <c r="B259" s="3">
        <v>2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</row>
    <row r="260" spans="1:18" x14ac:dyDescent="0.25">
      <c r="A260" s="2" t="s">
        <v>252</v>
      </c>
      <c r="B260" s="3">
        <v>0</v>
      </c>
      <c r="C260" s="3">
        <v>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2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 x14ac:dyDescent="0.25">
      <c r="A261" s="2" t="s">
        <v>253</v>
      </c>
      <c r="B261" s="3">
        <v>2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 x14ac:dyDescent="0.25">
      <c r="A262" s="2" t="s">
        <v>254</v>
      </c>
      <c r="B262" s="3">
        <v>0</v>
      </c>
      <c r="C262" s="3">
        <v>2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8" x14ac:dyDescent="0.25">
      <c r="A263" s="2" t="s">
        <v>255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25">
      <c r="A264" s="2" t="s">
        <v>256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x14ac:dyDescent="0.25">
      <c r="A265" s="2" t="s">
        <v>257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 x14ac:dyDescent="0.25">
      <c r="A266" s="2" t="s">
        <v>258</v>
      </c>
      <c r="B266" s="3">
        <v>2</v>
      </c>
      <c r="C266" s="3">
        <v>2</v>
      </c>
      <c r="D266" s="3">
        <v>0</v>
      </c>
      <c r="E266" s="3">
        <v>0</v>
      </c>
      <c r="F266" s="3">
        <v>2</v>
      </c>
      <c r="G266" s="3">
        <v>0</v>
      </c>
      <c r="H266" s="3">
        <v>0</v>
      </c>
      <c r="I266" s="3">
        <v>1</v>
      </c>
      <c r="J266" s="3">
        <v>2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 x14ac:dyDescent="0.25">
      <c r="A267" s="2" t="s">
        <v>259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</row>
    <row r="268" spans="1:18" x14ac:dyDescent="0.25">
      <c r="A268" s="2" t="s">
        <v>260</v>
      </c>
      <c r="B268" s="3">
        <v>0</v>
      </c>
      <c r="C268" s="3">
        <v>1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</row>
    <row r="269" spans="1:18" x14ac:dyDescent="0.25">
      <c r="A269" s="2" t="s">
        <v>261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</row>
    <row r="270" spans="1:18" x14ac:dyDescent="0.25">
      <c r="A270" s="2" t="s">
        <v>262</v>
      </c>
      <c r="B270" s="3">
        <v>0</v>
      </c>
      <c r="C270" s="3">
        <v>1</v>
      </c>
      <c r="D270" s="3">
        <v>3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3</v>
      </c>
      <c r="K270" s="3">
        <v>0</v>
      </c>
      <c r="L270" s="3">
        <v>0</v>
      </c>
      <c r="M270" s="3">
        <v>3</v>
      </c>
      <c r="N270" s="3">
        <v>0</v>
      </c>
      <c r="O270" s="3">
        <v>0</v>
      </c>
      <c r="P270" s="3">
        <v>0</v>
      </c>
      <c r="Q270" s="3">
        <v>0</v>
      </c>
      <c r="R270" s="3">
        <v>1</v>
      </c>
    </row>
    <row r="271" spans="1:18" x14ac:dyDescent="0.25">
      <c r="A271" s="2" t="s">
        <v>263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25">
      <c r="A272" s="2" t="s">
        <v>264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 x14ac:dyDescent="0.25">
      <c r="A273" s="2" t="s">
        <v>265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</row>
    <row r="274" spans="1:18" x14ac:dyDescent="0.25">
      <c r="A274" s="2" t="s">
        <v>266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</row>
    <row r="275" spans="1:18" x14ac:dyDescent="0.25">
      <c r="A275" s="2" t="s">
        <v>267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 x14ac:dyDescent="0.25">
      <c r="A276" s="2" t="s">
        <v>268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 x14ac:dyDescent="0.25">
      <c r="A277" s="2" t="s">
        <v>269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</row>
    <row r="278" spans="1:18" x14ac:dyDescent="0.25">
      <c r="A278" s="2" t="s">
        <v>270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25">
      <c r="A279" s="2" t="s">
        <v>271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25">
      <c r="A280" s="2" t="s">
        <v>272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 x14ac:dyDescent="0.25">
      <c r="A281" s="2" t="s">
        <v>273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2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 x14ac:dyDescent="0.25">
      <c r="A282" s="2" t="s">
        <v>274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</row>
    <row r="283" spans="1:18" x14ac:dyDescent="0.25">
      <c r="A283" s="2" t="s">
        <v>275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x14ac:dyDescent="0.25">
      <c r="A284" s="2" t="s">
        <v>276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2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 x14ac:dyDescent="0.25">
      <c r="A285" s="2" t="s">
        <v>277</v>
      </c>
      <c r="B285" s="3">
        <v>2</v>
      </c>
      <c r="C285" s="3">
        <v>0</v>
      </c>
      <c r="D285" s="3">
        <v>0</v>
      </c>
      <c r="E285" s="3">
        <v>1</v>
      </c>
      <c r="F285" s="3">
        <v>0</v>
      </c>
      <c r="G285" s="3">
        <v>0</v>
      </c>
      <c r="H285" s="3">
        <v>0</v>
      </c>
      <c r="I285" s="3">
        <v>0</v>
      </c>
      <c r="J285" s="3">
        <v>3</v>
      </c>
      <c r="K285" s="3">
        <v>0</v>
      </c>
      <c r="L285" s="3">
        <v>0</v>
      </c>
      <c r="M285" s="3">
        <v>2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 x14ac:dyDescent="0.25">
      <c r="A286" s="2" t="s">
        <v>278</v>
      </c>
      <c r="B286" s="3">
        <v>0</v>
      </c>
      <c r="C286" s="3">
        <v>1</v>
      </c>
      <c r="D286" s="3">
        <v>0</v>
      </c>
      <c r="E286" s="3">
        <v>1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 x14ac:dyDescent="0.25">
      <c r="A287" s="2" t="s">
        <v>279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 x14ac:dyDescent="0.25">
      <c r="A288" s="2" t="s">
        <v>280</v>
      </c>
      <c r="B288" s="3">
        <v>0</v>
      </c>
      <c r="C288" s="3">
        <v>11</v>
      </c>
      <c r="D288" s="3">
        <v>0</v>
      </c>
      <c r="E288" s="3">
        <v>0</v>
      </c>
      <c r="F288" s="3">
        <v>2</v>
      </c>
      <c r="G288" s="3">
        <v>4</v>
      </c>
      <c r="H288" s="3">
        <v>0</v>
      </c>
      <c r="I288" s="3">
        <v>0</v>
      </c>
      <c r="J288" s="3">
        <v>2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2</v>
      </c>
      <c r="Q288" s="3">
        <v>0</v>
      </c>
      <c r="R288" s="3">
        <v>0</v>
      </c>
    </row>
    <row r="289" spans="1:18" x14ac:dyDescent="0.25">
      <c r="A289" s="2" t="s">
        <v>281</v>
      </c>
      <c r="B289" s="3">
        <v>10</v>
      </c>
      <c r="C289" s="3">
        <v>7</v>
      </c>
      <c r="D289" s="3">
        <v>0</v>
      </c>
      <c r="E289" s="3">
        <v>0</v>
      </c>
      <c r="F289" s="3">
        <v>2</v>
      </c>
      <c r="G289" s="3">
        <v>0</v>
      </c>
      <c r="H289" s="3">
        <v>0</v>
      </c>
      <c r="I289" s="3">
        <v>0</v>
      </c>
      <c r="J289" s="3">
        <v>2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1</v>
      </c>
    </row>
    <row r="290" spans="1:18" x14ac:dyDescent="0.25">
      <c r="A290" s="2" t="s">
        <v>282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</row>
    <row r="291" spans="1:18" x14ac:dyDescent="0.25">
      <c r="A291" s="2" t="s">
        <v>283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1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</row>
    <row r="292" spans="1:18" x14ac:dyDescent="0.25">
      <c r="A292" s="2" t="s">
        <v>284</v>
      </c>
      <c r="B292" s="3">
        <v>2</v>
      </c>
      <c r="C292" s="3">
        <v>1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</row>
    <row r="293" spans="1:18" x14ac:dyDescent="0.25">
      <c r="A293" s="2" t="s">
        <v>285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</row>
    <row r="294" spans="1:18" x14ac:dyDescent="0.25">
      <c r="A294" s="2" t="s">
        <v>286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</row>
    <row r="295" spans="1:18" x14ac:dyDescent="0.25">
      <c r="A295" s="2" t="s">
        <v>287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</row>
    <row r="296" spans="1:18" x14ac:dyDescent="0.25">
      <c r="A296" s="2" t="s">
        <v>288</v>
      </c>
      <c r="B296" s="3">
        <v>2</v>
      </c>
      <c r="C296" s="3">
        <v>4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</row>
    <row r="297" spans="1:18" x14ac:dyDescent="0.25">
      <c r="A297" s="2" t="s">
        <v>289</v>
      </c>
      <c r="B297" s="3">
        <v>2</v>
      </c>
      <c r="C297" s="3">
        <v>1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</row>
    <row r="298" spans="1:18" x14ac:dyDescent="0.25">
      <c r="A298" s="2" t="s">
        <v>290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1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 x14ac:dyDescent="0.25">
      <c r="A299" s="2" t="s">
        <v>291</v>
      </c>
      <c r="B299" s="3">
        <v>2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</row>
    <row r="300" spans="1:18" x14ac:dyDescent="0.25">
      <c r="A300" s="2" t="s">
        <v>292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 x14ac:dyDescent="0.25">
      <c r="A301" s="2" t="s">
        <v>293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25">
      <c r="A302" s="2" t="s">
        <v>294</v>
      </c>
      <c r="B302" s="3">
        <v>1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2</v>
      </c>
      <c r="K302" s="3">
        <v>0</v>
      </c>
      <c r="L302" s="3">
        <v>0</v>
      </c>
      <c r="M302" s="3">
        <v>1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</row>
    <row r="303" spans="1:18" x14ac:dyDescent="0.25">
      <c r="A303" s="2" t="s">
        <v>295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 x14ac:dyDescent="0.25">
      <c r="A304" s="2" t="s">
        <v>296</v>
      </c>
      <c r="B304" s="3">
        <v>3</v>
      </c>
      <c r="C304" s="3">
        <v>3</v>
      </c>
      <c r="D304" s="3">
        <v>0</v>
      </c>
      <c r="E304" s="3">
        <v>0</v>
      </c>
      <c r="F304" s="3">
        <v>0</v>
      </c>
      <c r="G304" s="3">
        <v>0</v>
      </c>
      <c r="H304" s="3">
        <v>2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1</v>
      </c>
      <c r="O304" s="3">
        <v>0</v>
      </c>
      <c r="P304" s="3">
        <v>0</v>
      </c>
      <c r="Q304" s="3">
        <v>0</v>
      </c>
      <c r="R304" s="3">
        <v>0</v>
      </c>
    </row>
    <row r="305" spans="1:18" x14ac:dyDescent="0.25">
      <c r="A305" s="2" t="s">
        <v>297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 x14ac:dyDescent="0.25">
      <c r="A306" s="2" t="s">
        <v>298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25">
      <c r="A307" s="2" t="s">
        <v>299</v>
      </c>
      <c r="B307" s="3">
        <v>0</v>
      </c>
      <c r="C307" s="3">
        <v>2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 x14ac:dyDescent="0.25">
      <c r="A308" s="2" t="s">
        <v>300</v>
      </c>
      <c r="B308" s="3">
        <v>0</v>
      </c>
      <c r="C308" s="3">
        <v>6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2</v>
      </c>
      <c r="Q308" s="3">
        <v>0</v>
      </c>
      <c r="R308" s="3">
        <v>0</v>
      </c>
    </row>
    <row r="309" spans="1:18" x14ac:dyDescent="0.25">
      <c r="A309" s="2" t="s">
        <v>301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</row>
    <row r="310" spans="1:18" x14ac:dyDescent="0.25">
      <c r="A310" s="2" t="s">
        <v>302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 x14ac:dyDescent="0.25">
      <c r="A311" s="2" t="s">
        <v>303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2</v>
      </c>
      <c r="R311" s="3">
        <v>0</v>
      </c>
    </row>
    <row r="312" spans="1:18" x14ac:dyDescent="0.25">
      <c r="A312" s="2" t="s">
        <v>304</v>
      </c>
      <c r="B312" s="3">
        <v>2</v>
      </c>
      <c r="C312" s="3">
        <v>6</v>
      </c>
      <c r="D312" s="3">
        <v>0</v>
      </c>
      <c r="E312" s="3">
        <v>0</v>
      </c>
      <c r="F312" s="3">
        <v>0</v>
      </c>
      <c r="G312" s="3">
        <v>0</v>
      </c>
      <c r="H312" s="3">
        <v>2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1</v>
      </c>
    </row>
    <row r="313" spans="1:18" x14ac:dyDescent="0.25">
      <c r="A313" s="2" t="s">
        <v>305</v>
      </c>
      <c r="B313" s="3">
        <v>0</v>
      </c>
      <c r="C313" s="3">
        <v>0</v>
      </c>
      <c r="D313" s="3">
        <v>0</v>
      </c>
      <c r="E313" s="3">
        <v>2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 x14ac:dyDescent="0.25">
      <c r="A314" s="2" t="s">
        <v>306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 x14ac:dyDescent="0.25">
      <c r="A315" s="2" t="s">
        <v>307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4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25">
      <c r="A316" s="2" t="s">
        <v>308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 x14ac:dyDescent="0.25">
      <c r="A317" s="2" t="s">
        <v>309</v>
      </c>
      <c r="B317" s="3">
        <v>0</v>
      </c>
      <c r="C317" s="3">
        <v>3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</row>
    <row r="318" spans="1:18" x14ac:dyDescent="0.25">
      <c r="A318" s="2" t="s">
        <v>310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25">
      <c r="A319" s="2" t="s">
        <v>311</v>
      </c>
      <c r="B319" s="3">
        <v>1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2</v>
      </c>
      <c r="Q319" s="3">
        <v>0</v>
      </c>
      <c r="R319" s="3">
        <v>0</v>
      </c>
    </row>
    <row r="320" spans="1:18" x14ac:dyDescent="0.25">
      <c r="A320" s="2" t="s">
        <v>312</v>
      </c>
      <c r="B320" s="3">
        <v>0</v>
      </c>
      <c r="C320" s="3">
        <v>1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 x14ac:dyDescent="0.25">
      <c r="A321" s="2" t="s">
        <v>313</v>
      </c>
      <c r="B321" s="3">
        <v>2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1</v>
      </c>
      <c r="I321" s="3">
        <v>0</v>
      </c>
      <c r="J321" s="3">
        <v>3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 x14ac:dyDescent="0.25">
      <c r="A322" s="2" t="s">
        <v>314</v>
      </c>
      <c r="B322" s="3">
        <v>1</v>
      </c>
      <c r="C322" s="3">
        <v>2</v>
      </c>
      <c r="D322" s="3">
        <v>8</v>
      </c>
      <c r="E322" s="3">
        <v>0</v>
      </c>
      <c r="F322" s="3">
        <v>0</v>
      </c>
      <c r="G322" s="3">
        <v>2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4</v>
      </c>
      <c r="R322" s="3">
        <v>0</v>
      </c>
    </row>
    <row r="323" spans="1:18" x14ac:dyDescent="0.25">
      <c r="A323" s="2" t="s">
        <v>315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5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 x14ac:dyDescent="0.25">
      <c r="A324" s="2" t="s">
        <v>316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1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</row>
    <row r="325" spans="1:18" x14ac:dyDescent="0.25">
      <c r="A325" s="2" t="s">
        <v>317</v>
      </c>
      <c r="B325" s="3">
        <v>0</v>
      </c>
      <c r="C325" s="3">
        <v>2</v>
      </c>
      <c r="D325" s="3">
        <v>0</v>
      </c>
      <c r="E325" s="3">
        <v>2</v>
      </c>
      <c r="F325" s="3">
        <v>2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</row>
    <row r="326" spans="1:18" x14ac:dyDescent="0.25">
      <c r="A326" s="2" t="s">
        <v>318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</row>
    <row r="327" spans="1:18" x14ac:dyDescent="0.25">
      <c r="A327" s="2" t="s">
        <v>319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 x14ac:dyDescent="0.25">
      <c r="A328" s="2" t="s">
        <v>320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25">
      <c r="A329" s="2" t="s">
        <v>321</v>
      </c>
      <c r="B329" s="3">
        <v>12</v>
      </c>
      <c r="C329" s="3">
        <v>14</v>
      </c>
      <c r="D329" s="3">
        <v>5</v>
      </c>
      <c r="E329" s="3">
        <v>1</v>
      </c>
      <c r="F329" s="3">
        <v>1</v>
      </c>
      <c r="G329" s="3">
        <v>2</v>
      </c>
      <c r="H329" s="3">
        <v>0</v>
      </c>
      <c r="I329" s="3">
        <v>0</v>
      </c>
      <c r="J329" s="3">
        <v>6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1</v>
      </c>
      <c r="R329" s="3">
        <v>0</v>
      </c>
    </row>
    <row r="330" spans="1:18" x14ac:dyDescent="0.25">
      <c r="A330" s="2" t="s">
        <v>322</v>
      </c>
      <c r="B330" s="3">
        <v>4</v>
      </c>
      <c r="C330" s="3">
        <v>7</v>
      </c>
      <c r="D330" s="3">
        <v>0</v>
      </c>
      <c r="E330" s="3">
        <v>0</v>
      </c>
      <c r="F330" s="3">
        <v>5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1</v>
      </c>
      <c r="N330" s="3">
        <v>0</v>
      </c>
      <c r="O330" s="3">
        <v>0</v>
      </c>
      <c r="P330" s="3">
        <v>0</v>
      </c>
      <c r="Q330" s="3">
        <v>0</v>
      </c>
      <c r="R330" s="3">
        <v>2</v>
      </c>
    </row>
    <row r="331" spans="1:18" x14ac:dyDescent="0.25">
      <c r="A331" s="2" t="s">
        <v>323</v>
      </c>
      <c r="B331" s="3">
        <v>1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25">
      <c r="A332" s="2" t="s">
        <v>324</v>
      </c>
      <c r="B332" s="3">
        <v>0</v>
      </c>
      <c r="C332" s="3">
        <v>1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 x14ac:dyDescent="0.25">
      <c r="A333" s="2" t="s">
        <v>325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 x14ac:dyDescent="0.25">
      <c r="A334" s="2" t="s">
        <v>326</v>
      </c>
      <c r="B334" s="3">
        <v>3</v>
      </c>
      <c r="C334" s="3">
        <v>2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 x14ac:dyDescent="0.25">
      <c r="A335" s="2" t="s">
        <v>327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 x14ac:dyDescent="0.25">
      <c r="A336" s="2" t="s">
        <v>328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1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</row>
    <row r="337" spans="1:18" x14ac:dyDescent="0.25">
      <c r="A337" s="2" t="s">
        <v>329</v>
      </c>
      <c r="B337" s="3">
        <v>2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1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 x14ac:dyDescent="0.25">
      <c r="A338" s="2" t="s">
        <v>330</v>
      </c>
      <c r="B338" s="3">
        <v>2</v>
      </c>
      <c r="C338" s="3">
        <v>2</v>
      </c>
      <c r="D338" s="3">
        <v>1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 x14ac:dyDescent="0.25">
      <c r="A339" s="2" t="s">
        <v>331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x14ac:dyDescent="0.25">
      <c r="A340" s="2" t="s">
        <v>332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 x14ac:dyDescent="0.25">
      <c r="A341" s="2" t="s">
        <v>333</v>
      </c>
      <c r="B341" s="3">
        <v>2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4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</row>
    <row r="342" spans="1:18" x14ac:dyDescent="0.25">
      <c r="A342" s="2" t="s">
        <v>334</v>
      </c>
      <c r="B342" s="3">
        <v>3</v>
      </c>
      <c r="C342" s="3">
        <v>0</v>
      </c>
      <c r="D342" s="3">
        <v>2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</row>
    <row r="343" spans="1:18" x14ac:dyDescent="0.25">
      <c r="A343" s="2" t="s">
        <v>335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 x14ac:dyDescent="0.25">
      <c r="A344" s="2" t="s">
        <v>336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 x14ac:dyDescent="0.25">
      <c r="A345" s="2" t="s">
        <v>337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1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</row>
    <row r="346" spans="1:18" x14ac:dyDescent="0.25">
      <c r="A346" s="2" t="s">
        <v>338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 x14ac:dyDescent="0.25">
      <c r="A347" s="2" t="s">
        <v>339</v>
      </c>
      <c r="B347" s="3">
        <v>0</v>
      </c>
      <c r="C347" s="3">
        <v>2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</row>
    <row r="348" spans="1:18" x14ac:dyDescent="0.25">
      <c r="A348" s="2" t="s">
        <v>340</v>
      </c>
      <c r="B348" s="3">
        <v>1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 x14ac:dyDescent="0.25">
      <c r="A349" s="2" t="s">
        <v>341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 x14ac:dyDescent="0.25">
      <c r="A350" s="2" t="s">
        <v>342</v>
      </c>
      <c r="B350" s="3">
        <v>2</v>
      </c>
      <c r="C350" s="3">
        <v>4</v>
      </c>
      <c r="D350" s="3">
        <v>3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 x14ac:dyDescent="0.25">
      <c r="A351" s="2" t="s">
        <v>343</v>
      </c>
      <c r="B351" s="3">
        <v>0</v>
      </c>
      <c r="C351" s="3">
        <v>6</v>
      </c>
      <c r="D351" s="3">
        <v>3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3</v>
      </c>
      <c r="K351" s="3">
        <v>2</v>
      </c>
      <c r="L351" s="3">
        <v>0</v>
      </c>
      <c r="M351" s="3">
        <v>2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 x14ac:dyDescent="0.25">
      <c r="A352" s="2" t="s">
        <v>344</v>
      </c>
      <c r="B352" s="3">
        <v>2</v>
      </c>
      <c r="C352" s="3">
        <v>3</v>
      </c>
      <c r="D352" s="3">
        <v>0</v>
      </c>
      <c r="E352" s="3">
        <v>0</v>
      </c>
      <c r="F352" s="3">
        <v>1</v>
      </c>
      <c r="G352" s="3">
        <v>0</v>
      </c>
      <c r="H352" s="3">
        <v>0</v>
      </c>
      <c r="I352" s="3">
        <v>0</v>
      </c>
      <c r="J352" s="3">
        <v>1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</row>
    <row r="353" spans="1:18" x14ac:dyDescent="0.25">
      <c r="A353" s="2" t="s">
        <v>345</v>
      </c>
      <c r="B353" s="3">
        <v>0</v>
      </c>
      <c r="C353" s="3">
        <v>4</v>
      </c>
      <c r="D353" s="3">
        <v>0</v>
      </c>
      <c r="E353" s="3">
        <v>0</v>
      </c>
      <c r="F353" s="3">
        <v>0</v>
      </c>
      <c r="G353" s="3">
        <v>0</v>
      </c>
      <c r="H353" s="3">
        <v>3</v>
      </c>
      <c r="I353" s="3">
        <v>0</v>
      </c>
      <c r="J353" s="3">
        <v>2</v>
      </c>
      <c r="K353" s="3">
        <v>0</v>
      </c>
      <c r="L353" s="3">
        <v>0</v>
      </c>
      <c r="M353" s="3">
        <v>1</v>
      </c>
      <c r="N353" s="3">
        <v>0</v>
      </c>
      <c r="O353" s="3">
        <v>2</v>
      </c>
      <c r="P353" s="3">
        <v>0</v>
      </c>
      <c r="Q353" s="3">
        <v>0</v>
      </c>
      <c r="R353" s="3">
        <v>4</v>
      </c>
    </row>
    <row r="354" spans="1:18" x14ac:dyDescent="0.25">
      <c r="A354" s="2" t="s">
        <v>346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</row>
    <row r="355" spans="1:18" x14ac:dyDescent="0.25">
      <c r="A355" s="2" t="s">
        <v>347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</row>
    <row r="356" spans="1:18" x14ac:dyDescent="0.25">
      <c r="A356" s="2" t="s">
        <v>348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 x14ac:dyDescent="0.25">
      <c r="A357" s="2" t="s">
        <v>349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25">
      <c r="A358" s="2" t="s">
        <v>350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25">
      <c r="A359" s="2" t="s">
        <v>351</v>
      </c>
      <c r="B359" s="3">
        <v>1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25">
      <c r="A360" s="2" t="s">
        <v>352</v>
      </c>
      <c r="B360" s="3">
        <v>2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</row>
    <row r="361" spans="1:18" x14ac:dyDescent="0.25">
      <c r="A361" s="2" t="s">
        <v>353</v>
      </c>
      <c r="B361" s="3">
        <v>0</v>
      </c>
      <c r="C361" s="3">
        <v>0</v>
      </c>
      <c r="D361" s="3">
        <v>0</v>
      </c>
      <c r="E361" s="3">
        <v>1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</row>
    <row r="362" spans="1:18" x14ac:dyDescent="0.25">
      <c r="A362" s="2" t="s">
        <v>354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</row>
    <row r="363" spans="1:18" x14ac:dyDescent="0.25">
      <c r="A363" s="2" t="s">
        <v>355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4</v>
      </c>
      <c r="H363" s="3">
        <v>0</v>
      </c>
      <c r="I363" s="3">
        <v>0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</row>
    <row r="364" spans="1:18" x14ac:dyDescent="0.25">
      <c r="A364" s="2" t="s">
        <v>356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</row>
    <row r="365" spans="1:18" x14ac:dyDescent="0.25">
      <c r="A365" s="2" t="s">
        <v>357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25">
      <c r="A366" s="2" t="s">
        <v>358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 x14ac:dyDescent="0.25">
      <c r="A367" s="2" t="s">
        <v>359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 x14ac:dyDescent="0.25">
      <c r="A368" s="2" t="s">
        <v>360</v>
      </c>
      <c r="B368" s="4" t="s">
        <v>361</v>
      </c>
      <c r="C368" s="4" t="s">
        <v>361</v>
      </c>
      <c r="D368" s="4" t="s">
        <v>361</v>
      </c>
      <c r="E368" s="4" t="s">
        <v>361</v>
      </c>
      <c r="F368" s="4" t="s">
        <v>361</v>
      </c>
      <c r="G368" s="4" t="s">
        <v>361</v>
      </c>
      <c r="H368" s="4" t="s">
        <v>361</v>
      </c>
      <c r="I368" s="4" t="s">
        <v>361</v>
      </c>
      <c r="J368" s="4" t="s">
        <v>361</v>
      </c>
      <c r="K368" s="4" t="s">
        <v>361</v>
      </c>
      <c r="L368" s="4" t="s">
        <v>361</v>
      </c>
      <c r="M368" s="4" t="s">
        <v>361</v>
      </c>
      <c r="N368" s="4" t="s">
        <v>361</v>
      </c>
      <c r="O368" s="4" t="s">
        <v>361</v>
      </c>
      <c r="P368" s="4" t="s">
        <v>361</v>
      </c>
      <c r="Q368" s="4" t="s">
        <v>361</v>
      </c>
      <c r="R368" s="4" t="s">
        <v>361</v>
      </c>
    </row>
    <row r="370" spans="1:2" x14ac:dyDescent="0.25">
      <c r="A370" t="s">
        <v>362</v>
      </c>
    </row>
    <row r="371" spans="1:2" x14ac:dyDescent="0.25">
      <c r="A371" t="s">
        <v>363</v>
      </c>
    </row>
    <row r="372" spans="1:2" x14ac:dyDescent="0.25">
      <c r="A372" t="s">
        <v>364</v>
      </c>
    </row>
    <row r="373" spans="1:2" x14ac:dyDescent="0.25">
      <c r="A373" t="s">
        <v>365</v>
      </c>
    </row>
    <row r="374" spans="1:2" x14ac:dyDescent="0.25">
      <c r="A374" t="s">
        <v>366</v>
      </c>
    </row>
    <row r="375" spans="1:2" x14ac:dyDescent="0.25">
      <c r="A375" t="s">
        <v>367</v>
      </c>
    </row>
    <row r="378" spans="1:2" x14ac:dyDescent="0.25">
      <c r="A378" t="s">
        <v>368</v>
      </c>
      <c r="B378" t="s">
        <v>369</v>
      </c>
    </row>
    <row r="379" spans="1:2" x14ac:dyDescent="0.25">
      <c r="A379" t="s">
        <v>370</v>
      </c>
      <c r="B379" t="s">
        <v>371</v>
      </c>
    </row>
    <row r="380" spans="1:2" x14ac:dyDescent="0.25">
      <c r="A380" t="s">
        <v>372</v>
      </c>
      <c r="B380" t="s">
        <v>373</v>
      </c>
    </row>
    <row r="381" spans="1:2" x14ac:dyDescent="0.25">
      <c r="A381" t="s">
        <v>374</v>
      </c>
    </row>
    <row r="382" spans="1:2" x14ac:dyDescent="0.25">
      <c r="A382" t="s">
        <v>375</v>
      </c>
      <c r="B382" t="s">
        <v>376</v>
      </c>
    </row>
    <row r="383" spans="1:2" x14ac:dyDescent="0.25">
      <c r="A383" t="s">
        <v>377</v>
      </c>
      <c r="B383" t="s">
        <v>378</v>
      </c>
    </row>
    <row r="384" spans="1:2" x14ac:dyDescent="0.25">
      <c r="A384" t="s">
        <v>379</v>
      </c>
      <c r="B384" t="s">
        <v>380</v>
      </c>
    </row>
    <row r="385" spans="1:2" x14ac:dyDescent="0.25">
      <c r="A385" t="s">
        <v>381</v>
      </c>
      <c r="B385" t="s">
        <v>382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17DA-6919-4745-B30B-DB6D7DF7C598}">
  <dimension ref="A1:R385"/>
  <sheetViews>
    <sheetView workbookViewId="0">
      <selection activeCell="A7" sqref="A7:R9"/>
    </sheetView>
  </sheetViews>
  <sheetFormatPr baseColWidth="10" defaultColWidth="9.140625" defaultRowHeight="15" x14ac:dyDescent="0.25"/>
  <cols>
    <col min="1" max="1" width="113.85546875" bestFit="1" customWidth="1"/>
  </cols>
  <sheetData>
    <row r="1" spans="1:18" ht="18.75" x14ac:dyDescent="0.3">
      <c r="A1" s="1" t="s">
        <v>386</v>
      </c>
    </row>
    <row r="3" spans="1:18" x14ac:dyDescent="0.25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</row>
    <row r="4" spans="1:18" x14ac:dyDescent="0.25"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</row>
    <row r="5" spans="1:18" x14ac:dyDescent="0.25">
      <c r="B5" s="2" t="s">
        <v>2</v>
      </c>
      <c r="C5" s="2" t="s">
        <v>2</v>
      </c>
      <c r="D5" s="2" t="s">
        <v>2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</row>
    <row r="6" spans="1:18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t="s">
        <v>387</v>
      </c>
      <c r="B7" s="5">
        <f>SUM(B11:B367)</f>
        <v>1794</v>
      </c>
      <c r="C7" s="5">
        <f t="shared" ref="C7:R7" si="0">SUM(C11:C367)</f>
        <v>2491</v>
      </c>
      <c r="D7" s="5">
        <f t="shared" si="0"/>
        <v>610</v>
      </c>
      <c r="E7" s="5">
        <f t="shared" si="0"/>
        <v>130</v>
      </c>
      <c r="F7" s="5">
        <f t="shared" si="0"/>
        <v>613</v>
      </c>
      <c r="G7" s="5">
        <f t="shared" si="0"/>
        <v>385</v>
      </c>
      <c r="H7" s="5">
        <f t="shared" si="0"/>
        <v>139</v>
      </c>
      <c r="I7" s="5">
        <f t="shared" si="0"/>
        <v>446</v>
      </c>
      <c r="J7" s="5">
        <f t="shared" si="0"/>
        <v>609</v>
      </c>
      <c r="K7" s="5">
        <f t="shared" si="0"/>
        <v>137</v>
      </c>
      <c r="L7" s="5">
        <f t="shared" si="0"/>
        <v>98</v>
      </c>
      <c r="M7" s="5">
        <f t="shared" si="0"/>
        <v>225</v>
      </c>
      <c r="N7" s="5">
        <f t="shared" si="0"/>
        <v>112</v>
      </c>
      <c r="O7" s="5">
        <f t="shared" si="0"/>
        <v>43</v>
      </c>
      <c r="P7" s="5">
        <f t="shared" si="0"/>
        <v>23</v>
      </c>
      <c r="Q7" s="5">
        <f t="shared" si="0"/>
        <v>75</v>
      </c>
      <c r="R7" s="5">
        <f t="shared" si="0"/>
        <v>186</v>
      </c>
    </row>
    <row r="8" spans="1:18" x14ac:dyDescent="0.25">
      <c r="A8" t="s">
        <v>388</v>
      </c>
      <c r="B8" s="5">
        <f>SUM(B11:B114,B132:B367)</f>
        <v>868</v>
      </c>
      <c r="C8" s="5">
        <f t="shared" ref="C8:R8" si="1">SUM(C11:C114,C132:C367)</f>
        <v>1492</v>
      </c>
      <c r="D8" s="5">
        <f t="shared" si="1"/>
        <v>451</v>
      </c>
      <c r="E8" s="5">
        <f t="shared" si="1"/>
        <v>35</v>
      </c>
      <c r="F8" s="5">
        <f t="shared" si="1"/>
        <v>254</v>
      </c>
      <c r="G8" s="5">
        <f t="shared" si="1"/>
        <v>280</v>
      </c>
      <c r="H8" s="5">
        <f t="shared" si="1"/>
        <v>54</v>
      </c>
      <c r="I8" s="5">
        <f t="shared" si="1"/>
        <v>252</v>
      </c>
      <c r="J8" s="5">
        <f t="shared" si="1"/>
        <v>362</v>
      </c>
      <c r="K8" s="5">
        <f t="shared" si="1"/>
        <v>66</v>
      </c>
      <c r="L8" s="5">
        <f t="shared" si="1"/>
        <v>54</v>
      </c>
      <c r="M8" s="5">
        <f t="shared" si="1"/>
        <v>176</v>
      </c>
      <c r="N8" s="5">
        <f t="shared" si="1"/>
        <v>55</v>
      </c>
      <c r="O8" s="5">
        <f t="shared" si="1"/>
        <v>32</v>
      </c>
      <c r="P8" s="5">
        <f t="shared" si="1"/>
        <v>18</v>
      </c>
      <c r="Q8" s="5">
        <f t="shared" si="1"/>
        <v>39</v>
      </c>
      <c r="R8" s="5">
        <f t="shared" si="1"/>
        <v>99</v>
      </c>
    </row>
    <row r="9" spans="1:18" x14ac:dyDescent="0.25">
      <c r="A9" t="s">
        <v>389</v>
      </c>
      <c r="B9" s="5">
        <f>SUM(B115:B131)</f>
        <v>926</v>
      </c>
      <c r="C9" s="5">
        <f t="shared" ref="C9:R9" si="2">SUM(C115:C131)</f>
        <v>999</v>
      </c>
      <c r="D9" s="5">
        <f t="shared" si="2"/>
        <v>159</v>
      </c>
      <c r="E9" s="5">
        <f t="shared" si="2"/>
        <v>95</v>
      </c>
      <c r="F9" s="5">
        <f t="shared" si="2"/>
        <v>359</v>
      </c>
      <c r="G9" s="5">
        <f t="shared" si="2"/>
        <v>105</v>
      </c>
      <c r="H9" s="5">
        <f t="shared" si="2"/>
        <v>85</v>
      </c>
      <c r="I9" s="5">
        <f t="shared" si="2"/>
        <v>194</v>
      </c>
      <c r="J9" s="5">
        <f t="shared" si="2"/>
        <v>247</v>
      </c>
      <c r="K9" s="5">
        <f t="shared" si="2"/>
        <v>71</v>
      </c>
      <c r="L9" s="5">
        <f t="shared" si="2"/>
        <v>44</v>
      </c>
      <c r="M9" s="5">
        <f t="shared" si="2"/>
        <v>49</v>
      </c>
      <c r="N9" s="5">
        <f t="shared" si="2"/>
        <v>57</v>
      </c>
      <c r="O9" s="5">
        <f t="shared" si="2"/>
        <v>11</v>
      </c>
      <c r="P9" s="5">
        <f t="shared" si="2"/>
        <v>5</v>
      </c>
      <c r="Q9" s="5">
        <f t="shared" si="2"/>
        <v>36</v>
      </c>
      <c r="R9" s="5">
        <f t="shared" si="2"/>
        <v>87</v>
      </c>
    </row>
    <row r="10" spans="1:18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 t="s">
        <v>20</v>
      </c>
      <c r="B11" s="3">
        <v>7</v>
      </c>
      <c r="C11" s="3">
        <v>4</v>
      </c>
      <c r="D11" s="3">
        <v>2</v>
      </c>
      <c r="E11" s="3">
        <v>0</v>
      </c>
      <c r="F11" s="3">
        <v>0</v>
      </c>
      <c r="G11" s="3">
        <v>2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 x14ac:dyDescent="0.25">
      <c r="A12" s="2" t="s">
        <v>21</v>
      </c>
      <c r="B12" s="3">
        <v>4</v>
      </c>
      <c r="C12" s="3">
        <v>13</v>
      </c>
      <c r="D12" s="3">
        <v>8</v>
      </c>
      <c r="E12" s="3">
        <v>0</v>
      </c>
      <c r="F12" s="3">
        <v>5</v>
      </c>
      <c r="G12" s="3">
        <v>0</v>
      </c>
      <c r="H12" s="3">
        <v>0</v>
      </c>
      <c r="I12" s="3">
        <v>0</v>
      </c>
      <c r="J12" s="3">
        <v>6</v>
      </c>
      <c r="K12" s="3">
        <v>0</v>
      </c>
      <c r="L12" s="3">
        <v>0</v>
      </c>
      <c r="M12" s="3">
        <v>2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</row>
    <row r="13" spans="1:18" x14ac:dyDescent="0.25">
      <c r="A13" s="2" t="s">
        <v>22</v>
      </c>
      <c r="B13" s="3">
        <v>11</v>
      </c>
      <c r="C13" s="3">
        <v>12</v>
      </c>
      <c r="D13" s="3">
        <v>3</v>
      </c>
      <c r="E13" s="3">
        <v>0</v>
      </c>
      <c r="F13" s="3">
        <v>4</v>
      </c>
      <c r="G13" s="3">
        <v>4</v>
      </c>
      <c r="H13" s="3">
        <v>0</v>
      </c>
      <c r="I13" s="3">
        <v>1</v>
      </c>
      <c r="J13" s="3">
        <v>4</v>
      </c>
      <c r="K13" s="3">
        <v>8</v>
      </c>
      <c r="L13" s="3">
        <v>0</v>
      </c>
      <c r="M13" s="3">
        <v>0</v>
      </c>
      <c r="N13" s="3">
        <v>0</v>
      </c>
      <c r="O13" s="3">
        <v>2</v>
      </c>
      <c r="P13" s="3">
        <v>0</v>
      </c>
      <c r="Q13" s="3">
        <v>0</v>
      </c>
      <c r="R13" s="3">
        <v>0</v>
      </c>
    </row>
    <row r="14" spans="1:18" x14ac:dyDescent="0.25">
      <c r="A14" s="2" t="s">
        <v>23</v>
      </c>
      <c r="B14" s="3">
        <v>10</v>
      </c>
      <c r="C14" s="3">
        <v>17</v>
      </c>
      <c r="D14" s="3">
        <v>1</v>
      </c>
      <c r="E14" s="3">
        <v>0</v>
      </c>
      <c r="F14" s="3">
        <v>3</v>
      </c>
      <c r="G14" s="3">
        <v>0</v>
      </c>
      <c r="H14" s="3">
        <v>0</v>
      </c>
      <c r="I14" s="3">
        <v>6</v>
      </c>
      <c r="J14" s="3">
        <v>9</v>
      </c>
      <c r="K14" s="3">
        <v>4</v>
      </c>
      <c r="L14" s="3">
        <v>7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5">
      <c r="A15" s="2" t="s">
        <v>24</v>
      </c>
      <c r="B15" s="3">
        <v>0</v>
      </c>
      <c r="C15" s="3">
        <v>2</v>
      </c>
      <c r="D15" s="3">
        <v>0</v>
      </c>
      <c r="E15" s="3">
        <v>0</v>
      </c>
      <c r="F15" s="3">
        <v>0</v>
      </c>
      <c r="G15" s="3">
        <v>2</v>
      </c>
      <c r="H15" s="3">
        <v>0</v>
      </c>
      <c r="I15" s="3">
        <v>0</v>
      </c>
      <c r="J15" s="3">
        <v>0</v>
      </c>
      <c r="K15" s="3">
        <v>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5">
      <c r="A16" s="2" t="s">
        <v>25</v>
      </c>
      <c r="B16" s="3">
        <v>0</v>
      </c>
      <c r="C16" s="3">
        <v>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25">
      <c r="A17" s="2" t="s">
        <v>26</v>
      </c>
      <c r="B17" s="3">
        <v>0</v>
      </c>
      <c r="C17" s="3">
        <v>3</v>
      </c>
      <c r="D17" s="3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x14ac:dyDescent="0.25">
      <c r="A18" s="2" t="s">
        <v>27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25">
      <c r="A19" s="2" t="s">
        <v>28</v>
      </c>
      <c r="B19" s="3">
        <v>6</v>
      </c>
      <c r="C19" s="3">
        <v>12</v>
      </c>
      <c r="D19" s="3">
        <v>1</v>
      </c>
      <c r="E19" s="3">
        <v>0</v>
      </c>
      <c r="F19" s="3">
        <v>2</v>
      </c>
      <c r="G19" s="3">
        <v>0</v>
      </c>
      <c r="H19" s="3">
        <v>2</v>
      </c>
      <c r="I19" s="3">
        <v>2</v>
      </c>
      <c r="J19" s="3">
        <v>0</v>
      </c>
      <c r="K19" s="3">
        <v>0</v>
      </c>
      <c r="L19" s="3">
        <v>0</v>
      </c>
      <c r="M19" s="3">
        <v>4</v>
      </c>
      <c r="N19" s="3">
        <v>0</v>
      </c>
      <c r="O19" s="3">
        <v>0</v>
      </c>
      <c r="P19" s="3">
        <v>0</v>
      </c>
      <c r="Q19" s="3">
        <v>3</v>
      </c>
      <c r="R19" s="3">
        <v>0</v>
      </c>
    </row>
    <row r="20" spans="1:18" x14ac:dyDescent="0.25">
      <c r="A20" s="2" t="s">
        <v>29</v>
      </c>
      <c r="B20" s="3">
        <v>0</v>
      </c>
      <c r="C20" s="3">
        <v>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5">
      <c r="A21" s="2" t="s">
        <v>30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25">
      <c r="A22" s="2" t="s">
        <v>31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25">
      <c r="A23" s="2" t="s">
        <v>32</v>
      </c>
      <c r="B23" s="3">
        <v>32</v>
      </c>
      <c r="C23" s="3">
        <v>31</v>
      </c>
      <c r="D23" s="3">
        <v>14</v>
      </c>
      <c r="E23" s="3">
        <v>0</v>
      </c>
      <c r="F23" s="3">
        <v>9</v>
      </c>
      <c r="G23" s="3">
        <v>8</v>
      </c>
      <c r="H23" s="3">
        <v>0</v>
      </c>
      <c r="I23" s="3">
        <v>1</v>
      </c>
      <c r="J23" s="3">
        <v>6</v>
      </c>
      <c r="K23" s="3">
        <v>0</v>
      </c>
      <c r="L23" s="3">
        <v>0</v>
      </c>
      <c r="M23" s="3">
        <v>3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</row>
    <row r="24" spans="1:18" x14ac:dyDescent="0.25">
      <c r="A24" s="2" t="s">
        <v>33</v>
      </c>
      <c r="B24" s="3">
        <v>6</v>
      </c>
      <c r="C24" s="3">
        <v>20</v>
      </c>
      <c r="D24" s="3">
        <v>10</v>
      </c>
      <c r="E24" s="3">
        <v>0</v>
      </c>
      <c r="F24" s="3">
        <v>6</v>
      </c>
      <c r="G24" s="3">
        <v>5</v>
      </c>
      <c r="H24" s="3">
        <v>0</v>
      </c>
      <c r="I24" s="3">
        <v>2</v>
      </c>
      <c r="J24" s="3">
        <v>6</v>
      </c>
      <c r="K24" s="3">
        <v>4</v>
      </c>
      <c r="L24" s="3">
        <v>1</v>
      </c>
      <c r="M24" s="3">
        <v>1</v>
      </c>
      <c r="N24" s="3">
        <v>2</v>
      </c>
      <c r="O24" s="3">
        <v>0</v>
      </c>
      <c r="P24" s="3">
        <v>2</v>
      </c>
      <c r="Q24" s="3">
        <v>2</v>
      </c>
      <c r="R24" s="3">
        <v>0</v>
      </c>
    </row>
    <row r="25" spans="1:18" x14ac:dyDescent="0.25">
      <c r="A25" s="2" t="s">
        <v>34</v>
      </c>
      <c r="B25" s="3">
        <v>6</v>
      </c>
      <c r="C25" s="3">
        <v>8</v>
      </c>
      <c r="D25" s="3">
        <v>4</v>
      </c>
      <c r="E25" s="3">
        <v>0</v>
      </c>
      <c r="F25" s="3">
        <v>6</v>
      </c>
      <c r="G25" s="3">
        <v>1</v>
      </c>
      <c r="H25" s="3">
        <v>2</v>
      </c>
      <c r="I25" s="3">
        <v>7</v>
      </c>
      <c r="J25" s="3">
        <v>6</v>
      </c>
      <c r="K25" s="3">
        <v>0</v>
      </c>
      <c r="L25" s="3">
        <v>2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25">
      <c r="A26" s="2" t="s">
        <v>35</v>
      </c>
      <c r="B26" s="3">
        <v>9</v>
      </c>
      <c r="C26" s="3">
        <v>19</v>
      </c>
      <c r="D26" s="3">
        <v>2</v>
      </c>
      <c r="E26" s="3">
        <v>0</v>
      </c>
      <c r="F26" s="3">
        <v>2</v>
      </c>
      <c r="G26" s="3">
        <v>0</v>
      </c>
      <c r="H26" s="3">
        <v>0</v>
      </c>
      <c r="I26" s="3">
        <v>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25">
      <c r="A27" s="2" t="s">
        <v>36</v>
      </c>
      <c r="B27" s="3">
        <v>6</v>
      </c>
      <c r="C27" s="3">
        <v>4</v>
      </c>
      <c r="D27" s="3">
        <v>2</v>
      </c>
      <c r="E27" s="3">
        <v>1</v>
      </c>
      <c r="F27" s="3">
        <v>3</v>
      </c>
      <c r="G27" s="3">
        <v>1</v>
      </c>
      <c r="H27" s="3">
        <v>0</v>
      </c>
      <c r="I27" s="3">
        <v>4</v>
      </c>
      <c r="J27" s="3">
        <v>5</v>
      </c>
      <c r="K27" s="3">
        <v>2</v>
      </c>
      <c r="L27" s="3">
        <v>0</v>
      </c>
      <c r="M27" s="3">
        <v>3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25">
      <c r="A28" s="2" t="s">
        <v>37</v>
      </c>
      <c r="B28" s="3">
        <v>0</v>
      </c>
      <c r="C28" s="3">
        <v>5</v>
      </c>
      <c r="D28" s="3">
        <v>2</v>
      </c>
      <c r="E28" s="3">
        <v>0</v>
      </c>
      <c r="F28" s="3">
        <v>2</v>
      </c>
      <c r="G28" s="3">
        <v>2</v>
      </c>
      <c r="H28" s="3">
        <v>2</v>
      </c>
      <c r="I28" s="3">
        <v>1</v>
      </c>
      <c r="J28" s="3">
        <v>1</v>
      </c>
      <c r="K28" s="3">
        <v>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5">
      <c r="A29" s="2" t="s">
        <v>38</v>
      </c>
      <c r="B29" s="3">
        <v>2</v>
      </c>
      <c r="C29" s="3">
        <v>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25">
      <c r="A30" s="2" t="s">
        <v>39</v>
      </c>
      <c r="B30" s="3">
        <v>0</v>
      </c>
      <c r="C30" s="3">
        <v>6</v>
      </c>
      <c r="D30" s="3">
        <v>2</v>
      </c>
      <c r="E30" s="3">
        <v>0</v>
      </c>
      <c r="F30" s="3">
        <v>3</v>
      </c>
      <c r="G30" s="3">
        <v>0</v>
      </c>
      <c r="H30" s="3">
        <v>0</v>
      </c>
      <c r="I30" s="3">
        <v>4</v>
      </c>
      <c r="J30" s="3">
        <v>3</v>
      </c>
      <c r="K30" s="3">
        <v>0</v>
      </c>
      <c r="L30" s="3">
        <v>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25">
      <c r="A31" s="2" t="s">
        <v>40</v>
      </c>
      <c r="B31" s="3">
        <v>4</v>
      </c>
      <c r="C31" s="3">
        <v>13</v>
      </c>
      <c r="D31" s="3">
        <v>2</v>
      </c>
      <c r="E31" s="3">
        <v>0</v>
      </c>
      <c r="F31" s="3">
        <v>3</v>
      </c>
      <c r="G31" s="3">
        <v>0</v>
      </c>
      <c r="H31" s="3">
        <v>0</v>
      </c>
      <c r="I31" s="3">
        <v>1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25">
      <c r="A32" s="2" t="s">
        <v>41</v>
      </c>
      <c r="B32" s="3">
        <v>0</v>
      </c>
      <c r="C32" s="3">
        <v>8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0</v>
      </c>
      <c r="R32" s="3">
        <v>0</v>
      </c>
    </row>
    <row r="33" spans="1:18" x14ac:dyDescent="0.25">
      <c r="A33" s="2" t="s">
        <v>42</v>
      </c>
      <c r="B33" s="3">
        <v>4</v>
      </c>
      <c r="C33" s="3">
        <v>7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3</v>
      </c>
      <c r="K33" s="3">
        <v>0</v>
      </c>
      <c r="L33" s="3">
        <v>0</v>
      </c>
      <c r="M33" s="3">
        <v>9</v>
      </c>
      <c r="N33" s="3">
        <v>0</v>
      </c>
      <c r="O33" s="3">
        <v>0</v>
      </c>
      <c r="P33" s="3">
        <v>0</v>
      </c>
      <c r="Q33" s="3">
        <v>0</v>
      </c>
      <c r="R33" s="3">
        <v>2</v>
      </c>
    </row>
    <row r="34" spans="1:18" x14ac:dyDescent="0.25">
      <c r="A34" s="2" t="s">
        <v>43</v>
      </c>
      <c r="B34" s="3">
        <v>3</v>
      </c>
      <c r="C34" s="3">
        <v>4</v>
      </c>
      <c r="D34" s="3">
        <v>0</v>
      </c>
      <c r="E34" s="3">
        <v>0</v>
      </c>
      <c r="F34" s="3">
        <v>0</v>
      </c>
      <c r="G34" s="3">
        <v>2</v>
      </c>
      <c r="H34" s="3">
        <v>0</v>
      </c>
      <c r="I34" s="3">
        <v>0</v>
      </c>
      <c r="J34" s="3">
        <v>4</v>
      </c>
      <c r="K34" s="3">
        <v>0</v>
      </c>
      <c r="L34" s="3">
        <v>0</v>
      </c>
      <c r="M34" s="3">
        <v>2</v>
      </c>
      <c r="N34" s="3">
        <v>0</v>
      </c>
      <c r="O34" s="3">
        <v>0</v>
      </c>
      <c r="P34" s="3">
        <v>0</v>
      </c>
      <c r="Q34" s="3">
        <v>2</v>
      </c>
      <c r="R34" s="3">
        <v>0</v>
      </c>
    </row>
    <row r="35" spans="1:18" x14ac:dyDescent="0.25">
      <c r="A35" s="2" t="s">
        <v>44</v>
      </c>
      <c r="B35" s="3">
        <v>0</v>
      </c>
      <c r="C35" s="3">
        <v>4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7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25">
      <c r="A36" s="2" t="s">
        <v>45</v>
      </c>
      <c r="B36" s="3">
        <v>0</v>
      </c>
      <c r="C36" s="3">
        <v>2</v>
      </c>
      <c r="D36" s="3">
        <v>0</v>
      </c>
      <c r="E36" s="3">
        <v>0</v>
      </c>
      <c r="F36" s="3">
        <v>3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</v>
      </c>
      <c r="N36" s="3">
        <v>0</v>
      </c>
      <c r="O36" s="3">
        <v>0</v>
      </c>
      <c r="P36" s="3">
        <v>0</v>
      </c>
      <c r="Q36" s="3">
        <v>8</v>
      </c>
      <c r="R36" s="3">
        <v>0</v>
      </c>
    </row>
    <row r="37" spans="1:18" x14ac:dyDescent="0.25">
      <c r="A37" s="2" t="s">
        <v>46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x14ac:dyDescent="0.25">
      <c r="A38" s="2" t="s">
        <v>47</v>
      </c>
      <c r="B38" s="3">
        <v>3</v>
      </c>
      <c r="C38" s="3">
        <v>5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x14ac:dyDescent="0.25">
      <c r="A39" s="2" t="s">
        <v>48</v>
      </c>
      <c r="B39" s="3">
        <v>0</v>
      </c>
      <c r="C39" s="3">
        <v>2</v>
      </c>
      <c r="D39" s="3">
        <v>2</v>
      </c>
      <c r="E39" s="3">
        <v>0</v>
      </c>
      <c r="F39" s="3">
        <v>0</v>
      </c>
      <c r="G39" s="3">
        <v>0</v>
      </c>
      <c r="H39" s="3">
        <v>1</v>
      </c>
      <c r="I39" s="3">
        <v>3</v>
      </c>
      <c r="J39" s="3">
        <v>0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25">
      <c r="A40" s="2" t="s">
        <v>49</v>
      </c>
      <c r="B40" s="3">
        <v>2</v>
      </c>
      <c r="C40" s="3">
        <v>6</v>
      </c>
      <c r="D40" s="3">
        <v>0</v>
      </c>
      <c r="E40" s="3">
        <v>0</v>
      </c>
      <c r="F40" s="3">
        <v>0</v>
      </c>
      <c r="G40" s="3">
        <v>3</v>
      </c>
      <c r="H40" s="3">
        <v>0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2</v>
      </c>
      <c r="P40" s="3">
        <v>0</v>
      </c>
      <c r="Q40" s="3">
        <v>0</v>
      </c>
      <c r="R40" s="3">
        <v>0</v>
      </c>
    </row>
    <row r="41" spans="1:18" x14ac:dyDescent="0.25">
      <c r="A41" s="2" t="s">
        <v>50</v>
      </c>
      <c r="B41" s="3">
        <v>0</v>
      </c>
      <c r="C41" s="3">
        <v>6</v>
      </c>
      <c r="D41" s="3">
        <v>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 x14ac:dyDescent="0.25">
      <c r="A42" s="2" t="s">
        <v>51</v>
      </c>
      <c r="B42" s="3">
        <v>0</v>
      </c>
      <c r="C42" s="3">
        <v>1</v>
      </c>
      <c r="D42" s="3">
        <v>0</v>
      </c>
      <c r="E42" s="3">
        <v>0</v>
      </c>
      <c r="F42" s="3">
        <v>0</v>
      </c>
      <c r="G42" s="3">
        <v>4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 x14ac:dyDescent="0.25">
      <c r="A43" s="2" t="s">
        <v>52</v>
      </c>
      <c r="B43" s="3">
        <v>0</v>
      </c>
      <c r="C43" s="3">
        <v>7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 x14ac:dyDescent="0.25">
      <c r="A44" s="2" t="s">
        <v>53</v>
      </c>
      <c r="B44" s="3">
        <v>170</v>
      </c>
      <c r="C44" s="3">
        <v>310</v>
      </c>
      <c r="D44" s="3">
        <v>63</v>
      </c>
      <c r="E44" s="3">
        <v>5</v>
      </c>
      <c r="F44" s="3">
        <v>44</v>
      </c>
      <c r="G44" s="3">
        <v>71</v>
      </c>
      <c r="H44" s="3">
        <v>6</v>
      </c>
      <c r="I44" s="3">
        <v>28</v>
      </c>
      <c r="J44" s="3">
        <v>60</v>
      </c>
      <c r="K44" s="3">
        <v>9</v>
      </c>
      <c r="L44" s="3">
        <v>4</v>
      </c>
      <c r="M44" s="3">
        <v>52</v>
      </c>
      <c r="N44" s="3">
        <v>4</v>
      </c>
      <c r="O44" s="3">
        <v>7</v>
      </c>
      <c r="P44" s="3">
        <v>3</v>
      </c>
      <c r="Q44" s="3">
        <v>6</v>
      </c>
      <c r="R44" s="3">
        <v>22</v>
      </c>
    </row>
    <row r="45" spans="1:18" x14ac:dyDescent="0.25">
      <c r="A45" s="2" t="s">
        <v>54</v>
      </c>
      <c r="B45" s="3">
        <v>36</v>
      </c>
      <c r="C45" s="3">
        <v>34</v>
      </c>
      <c r="D45" s="3">
        <v>25</v>
      </c>
      <c r="E45" s="3">
        <v>2</v>
      </c>
      <c r="F45" s="3">
        <v>3</v>
      </c>
      <c r="G45" s="3">
        <v>7</v>
      </c>
      <c r="H45" s="3">
        <v>0</v>
      </c>
      <c r="I45" s="3">
        <v>2</v>
      </c>
      <c r="J45" s="3">
        <v>16</v>
      </c>
      <c r="K45" s="3">
        <v>2</v>
      </c>
      <c r="L45" s="3">
        <v>6</v>
      </c>
      <c r="M45" s="3">
        <v>6</v>
      </c>
      <c r="N45" s="3">
        <v>0</v>
      </c>
      <c r="O45" s="3">
        <v>1</v>
      </c>
      <c r="P45" s="3">
        <v>0</v>
      </c>
      <c r="Q45" s="3">
        <v>0</v>
      </c>
      <c r="R45" s="3">
        <v>4</v>
      </c>
    </row>
    <row r="46" spans="1:18" x14ac:dyDescent="0.25">
      <c r="A46" s="2" t="s">
        <v>55</v>
      </c>
      <c r="B46" s="3">
        <v>6</v>
      </c>
      <c r="C46" s="3">
        <v>17</v>
      </c>
      <c r="D46" s="3">
        <v>46</v>
      </c>
      <c r="E46" s="3">
        <v>0</v>
      </c>
      <c r="F46" s="3">
        <v>4</v>
      </c>
      <c r="G46" s="3">
        <v>0</v>
      </c>
      <c r="H46" s="3">
        <v>0</v>
      </c>
      <c r="I46" s="3">
        <v>1</v>
      </c>
      <c r="J46" s="3">
        <v>13</v>
      </c>
      <c r="K46" s="3">
        <v>2</v>
      </c>
      <c r="L46" s="3">
        <v>5</v>
      </c>
      <c r="M46" s="3">
        <v>13</v>
      </c>
      <c r="N46" s="3">
        <v>3</v>
      </c>
      <c r="O46" s="3">
        <v>0</v>
      </c>
      <c r="P46" s="3">
        <v>0</v>
      </c>
      <c r="Q46" s="3">
        <v>0</v>
      </c>
      <c r="R46" s="3">
        <v>4</v>
      </c>
    </row>
    <row r="47" spans="1:18" x14ac:dyDescent="0.25">
      <c r="A47" s="2" t="s">
        <v>56</v>
      </c>
      <c r="B47" s="3">
        <v>6</v>
      </c>
      <c r="C47" s="3">
        <v>9</v>
      </c>
      <c r="D47" s="3">
        <v>13</v>
      </c>
      <c r="E47" s="3">
        <v>0</v>
      </c>
      <c r="F47" s="3">
        <v>1</v>
      </c>
      <c r="G47" s="3">
        <v>4</v>
      </c>
      <c r="H47" s="3">
        <v>0</v>
      </c>
      <c r="I47" s="3">
        <v>6</v>
      </c>
      <c r="J47" s="3">
        <v>8</v>
      </c>
      <c r="K47" s="3">
        <v>0</v>
      </c>
      <c r="L47" s="3">
        <v>0</v>
      </c>
      <c r="M47" s="3">
        <v>0</v>
      </c>
      <c r="N47" s="3">
        <v>1</v>
      </c>
      <c r="O47" s="3">
        <v>0</v>
      </c>
      <c r="P47" s="3">
        <v>0</v>
      </c>
      <c r="Q47" s="3">
        <v>0</v>
      </c>
      <c r="R47" s="3">
        <v>2</v>
      </c>
    </row>
    <row r="48" spans="1:18" x14ac:dyDescent="0.25">
      <c r="A48" s="2" t="s">
        <v>57</v>
      </c>
      <c r="B48" s="3">
        <v>0</v>
      </c>
      <c r="C48" s="3">
        <v>3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25">
      <c r="A49" s="2" t="s">
        <v>58</v>
      </c>
      <c r="B49" s="3">
        <v>1</v>
      </c>
      <c r="C49" s="3">
        <v>9</v>
      </c>
      <c r="D49" s="3">
        <v>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 x14ac:dyDescent="0.25">
      <c r="A50" s="2" t="s">
        <v>59</v>
      </c>
      <c r="B50" s="3">
        <v>3</v>
      </c>
      <c r="C50" s="3">
        <v>12</v>
      </c>
      <c r="D50" s="3">
        <v>4</v>
      </c>
      <c r="E50" s="3">
        <v>0</v>
      </c>
      <c r="F50" s="3">
        <v>2</v>
      </c>
      <c r="G50" s="3">
        <v>1</v>
      </c>
      <c r="H50" s="3">
        <v>0</v>
      </c>
      <c r="I50" s="3">
        <v>2</v>
      </c>
      <c r="J50" s="3">
        <v>8</v>
      </c>
      <c r="K50" s="3">
        <v>2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3</v>
      </c>
    </row>
    <row r="51" spans="1:18" x14ac:dyDescent="0.25">
      <c r="A51" s="2" t="s">
        <v>60</v>
      </c>
      <c r="B51" s="3">
        <v>5</v>
      </c>
      <c r="C51" s="3">
        <v>2</v>
      </c>
      <c r="D51" s="3">
        <v>2</v>
      </c>
      <c r="E51" s="3">
        <v>3</v>
      </c>
      <c r="F51" s="3">
        <v>0</v>
      </c>
      <c r="G51" s="3">
        <v>0</v>
      </c>
      <c r="H51" s="3">
        <v>0</v>
      </c>
      <c r="I51" s="3">
        <v>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 x14ac:dyDescent="0.25">
      <c r="A52" s="2" t="s">
        <v>61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</v>
      </c>
      <c r="K52" s="3">
        <v>2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x14ac:dyDescent="0.25">
      <c r="A53" s="2" t="s">
        <v>62</v>
      </c>
      <c r="B53" s="3">
        <v>0</v>
      </c>
      <c r="C53" s="3">
        <v>0</v>
      </c>
      <c r="D53" s="3">
        <v>4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25">
      <c r="A54" s="2" t="s">
        <v>63</v>
      </c>
      <c r="B54" s="3">
        <v>0</v>
      </c>
      <c r="C54" s="3">
        <v>0</v>
      </c>
      <c r="D54" s="3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x14ac:dyDescent="0.25">
      <c r="A55" s="2" t="s">
        <v>64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5">
      <c r="A56" s="2" t="s">
        <v>65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1</v>
      </c>
    </row>
    <row r="57" spans="1:18" x14ac:dyDescent="0.25">
      <c r="A57" s="2" t="s">
        <v>66</v>
      </c>
      <c r="B57" s="3">
        <v>0</v>
      </c>
      <c r="C57" s="3">
        <v>0</v>
      </c>
      <c r="D57" s="3">
        <v>0</v>
      </c>
      <c r="E57" s="3">
        <v>3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5">
      <c r="A58" s="2" t="s">
        <v>67</v>
      </c>
      <c r="B58" s="3">
        <v>0</v>
      </c>
      <c r="C58" s="3">
        <v>2</v>
      </c>
      <c r="D58" s="3">
        <v>3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25">
      <c r="A59" s="2" t="s">
        <v>68</v>
      </c>
      <c r="B59" s="3">
        <v>4</v>
      </c>
      <c r="C59" s="3">
        <v>2</v>
      </c>
      <c r="D59" s="3">
        <v>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x14ac:dyDescent="0.25">
      <c r="A60" s="2" t="s">
        <v>69</v>
      </c>
      <c r="B60" s="3">
        <v>0</v>
      </c>
      <c r="C60" s="3">
        <v>0</v>
      </c>
      <c r="D60" s="3">
        <v>3</v>
      </c>
      <c r="E60" s="3">
        <v>0</v>
      </c>
      <c r="F60" s="3">
        <v>0</v>
      </c>
      <c r="G60" s="3">
        <v>0</v>
      </c>
      <c r="H60" s="3">
        <v>0</v>
      </c>
      <c r="I60" s="3">
        <v>1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 x14ac:dyDescent="0.25">
      <c r="A61" s="2" t="s">
        <v>70</v>
      </c>
      <c r="B61" s="3">
        <v>0</v>
      </c>
      <c r="C61" s="3">
        <v>0</v>
      </c>
      <c r="D61" s="3">
        <v>3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</v>
      </c>
    </row>
    <row r="62" spans="1:18" x14ac:dyDescent="0.25">
      <c r="A62" s="2" t="s">
        <v>71</v>
      </c>
      <c r="B62" s="3">
        <v>0</v>
      </c>
      <c r="C62" s="3">
        <v>2</v>
      </c>
      <c r="D62" s="3">
        <v>4</v>
      </c>
      <c r="E62" s="3">
        <v>0</v>
      </c>
      <c r="F62" s="3">
        <v>0</v>
      </c>
      <c r="G62" s="3">
        <v>0</v>
      </c>
      <c r="H62" s="3">
        <v>0</v>
      </c>
      <c r="I62" s="3">
        <v>5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 x14ac:dyDescent="0.25">
      <c r="A63" s="2" t="s">
        <v>72</v>
      </c>
      <c r="B63" s="3">
        <v>2</v>
      </c>
      <c r="C63" s="3">
        <v>4</v>
      </c>
      <c r="D63" s="3">
        <v>0</v>
      </c>
      <c r="E63" s="3">
        <v>0</v>
      </c>
      <c r="F63" s="3">
        <v>3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 x14ac:dyDescent="0.25">
      <c r="A64" s="2" t="s">
        <v>73</v>
      </c>
      <c r="B64" s="3">
        <v>0</v>
      </c>
      <c r="C64" s="3">
        <v>7</v>
      </c>
      <c r="D64" s="3">
        <v>0</v>
      </c>
      <c r="E64" s="3">
        <v>0</v>
      </c>
      <c r="F64" s="3">
        <v>3</v>
      </c>
      <c r="G64" s="3">
        <v>0</v>
      </c>
      <c r="H64" s="3">
        <v>0</v>
      </c>
      <c r="I64" s="3">
        <v>0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5">
      <c r="A65" s="2" t="s">
        <v>74</v>
      </c>
      <c r="B65" s="3">
        <v>8</v>
      </c>
      <c r="C65" s="3">
        <v>12</v>
      </c>
      <c r="D65" s="3">
        <v>2</v>
      </c>
      <c r="E65" s="3">
        <v>1</v>
      </c>
      <c r="F65" s="3">
        <v>4</v>
      </c>
      <c r="G65" s="3">
        <v>2</v>
      </c>
      <c r="H65" s="3">
        <v>0</v>
      </c>
      <c r="I65" s="3">
        <v>0</v>
      </c>
      <c r="J65" s="3">
        <v>0</v>
      </c>
      <c r="K65" s="3">
        <v>2</v>
      </c>
      <c r="L65" s="3">
        <v>0</v>
      </c>
      <c r="M65" s="3">
        <v>1</v>
      </c>
      <c r="N65" s="3">
        <v>2</v>
      </c>
      <c r="O65" s="3">
        <v>0</v>
      </c>
      <c r="P65" s="3">
        <v>0</v>
      </c>
      <c r="Q65" s="3">
        <v>0</v>
      </c>
      <c r="R65" s="3">
        <v>0</v>
      </c>
    </row>
    <row r="66" spans="1:18" x14ac:dyDescent="0.25">
      <c r="A66" s="2" t="s">
        <v>75</v>
      </c>
      <c r="B66" s="3">
        <v>6</v>
      </c>
      <c r="C66" s="3">
        <v>1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2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25">
      <c r="A67" s="2" t="s">
        <v>76</v>
      </c>
      <c r="B67" s="3">
        <v>4</v>
      </c>
      <c r="C67" s="3">
        <v>7</v>
      </c>
      <c r="D67" s="3">
        <v>2</v>
      </c>
      <c r="E67" s="3">
        <v>0</v>
      </c>
      <c r="F67" s="3">
        <v>1</v>
      </c>
      <c r="G67" s="3">
        <v>0</v>
      </c>
      <c r="H67" s="3">
        <v>5</v>
      </c>
      <c r="I67" s="3">
        <v>8</v>
      </c>
      <c r="J67" s="3">
        <v>0</v>
      </c>
      <c r="K67" s="3">
        <v>0</v>
      </c>
      <c r="L67" s="3">
        <v>0</v>
      </c>
      <c r="M67" s="3">
        <v>5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 x14ac:dyDescent="0.25">
      <c r="A68" s="2" t="s">
        <v>77</v>
      </c>
      <c r="B68" s="3">
        <v>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 x14ac:dyDescent="0.25">
      <c r="A69" s="2" t="s">
        <v>78</v>
      </c>
      <c r="B69" s="3">
        <v>1</v>
      </c>
      <c r="C69" s="3">
        <v>0</v>
      </c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 x14ac:dyDescent="0.25">
      <c r="A70" s="2" t="s">
        <v>79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 x14ac:dyDescent="0.25">
      <c r="A71" s="2" t="s">
        <v>80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 x14ac:dyDescent="0.25">
      <c r="A72" s="2" t="s">
        <v>81</v>
      </c>
      <c r="B72" s="3">
        <v>0</v>
      </c>
      <c r="C72" s="3">
        <v>5</v>
      </c>
      <c r="D72" s="3">
        <v>0</v>
      </c>
      <c r="E72" s="3">
        <v>0</v>
      </c>
      <c r="F72" s="3">
        <v>2</v>
      </c>
      <c r="G72" s="3">
        <v>0</v>
      </c>
      <c r="H72" s="3">
        <v>0</v>
      </c>
      <c r="I72" s="3">
        <v>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 x14ac:dyDescent="0.25">
      <c r="A73" s="2" t="s">
        <v>82</v>
      </c>
      <c r="B73" s="3">
        <v>4</v>
      </c>
      <c r="C73" s="3">
        <v>0</v>
      </c>
      <c r="D73" s="3">
        <v>3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 x14ac:dyDescent="0.25">
      <c r="A74" s="2" t="s">
        <v>83</v>
      </c>
      <c r="B74" s="3">
        <v>3</v>
      </c>
      <c r="C74" s="3">
        <v>1</v>
      </c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 x14ac:dyDescent="0.25">
      <c r="A75" s="2" t="s">
        <v>84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x14ac:dyDescent="0.25">
      <c r="A76" s="2" t="s">
        <v>85</v>
      </c>
      <c r="B76" s="3">
        <v>4</v>
      </c>
      <c r="C76" s="3">
        <v>6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1</v>
      </c>
      <c r="J76" s="3">
        <v>5</v>
      </c>
      <c r="K76" s="3">
        <v>0</v>
      </c>
      <c r="L76" s="3">
        <v>0</v>
      </c>
      <c r="M76" s="3">
        <v>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 x14ac:dyDescent="0.25">
      <c r="A77" s="2" t="s">
        <v>86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2</v>
      </c>
      <c r="K77" s="3">
        <v>1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1</v>
      </c>
    </row>
    <row r="78" spans="1:18" x14ac:dyDescent="0.25">
      <c r="A78" s="2" t="s">
        <v>87</v>
      </c>
      <c r="B78" s="3">
        <v>0</v>
      </c>
      <c r="C78" s="3">
        <v>3</v>
      </c>
      <c r="D78" s="3">
        <v>0</v>
      </c>
      <c r="E78" s="3">
        <v>0</v>
      </c>
      <c r="F78" s="3">
        <v>0</v>
      </c>
      <c r="G78" s="3">
        <v>1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 x14ac:dyDescent="0.25">
      <c r="A79" s="2" t="s">
        <v>88</v>
      </c>
      <c r="B79" s="3">
        <v>0</v>
      </c>
      <c r="C79" s="3">
        <v>1</v>
      </c>
      <c r="D79" s="3">
        <v>5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1</v>
      </c>
    </row>
    <row r="80" spans="1:18" x14ac:dyDescent="0.25">
      <c r="A80" s="2" t="s">
        <v>89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2</v>
      </c>
      <c r="H80" s="3">
        <v>0</v>
      </c>
      <c r="I80" s="3">
        <v>2</v>
      </c>
      <c r="J80" s="3">
        <v>3</v>
      </c>
      <c r="K80" s="3">
        <v>0</v>
      </c>
      <c r="L80" s="3">
        <v>0</v>
      </c>
      <c r="M80" s="3">
        <v>1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 x14ac:dyDescent="0.25">
      <c r="A81" s="2" t="s">
        <v>90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 x14ac:dyDescent="0.25">
      <c r="A82" s="2" t="s">
        <v>91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 x14ac:dyDescent="0.25">
      <c r="A83" s="2" t="s">
        <v>92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2</v>
      </c>
      <c r="Q83" s="3">
        <v>0</v>
      </c>
      <c r="R83" s="3">
        <v>0</v>
      </c>
    </row>
    <row r="84" spans="1:18" x14ac:dyDescent="0.25">
      <c r="A84" s="2" t="s">
        <v>93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 x14ac:dyDescent="0.25">
      <c r="A85" s="2" t="s">
        <v>94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 x14ac:dyDescent="0.25">
      <c r="A86" s="2" t="s">
        <v>95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2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 x14ac:dyDescent="0.25">
      <c r="A87" s="2" t="s">
        <v>96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 x14ac:dyDescent="0.25">
      <c r="A88" s="2" t="s">
        <v>97</v>
      </c>
      <c r="B88" s="3">
        <v>0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 x14ac:dyDescent="0.25">
      <c r="A89" s="2" t="s">
        <v>98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8" x14ac:dyDescent="0.25">
      <c r="A90" s="2" t="s">
        <v>99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 x14ac:dyDescent="0.25">
      <c r="A91" s="2" t="s">
        <v>100</v>
      </c>
      <c r="B91" s="3">
        <v>2</v>
      </c>
      <c r="C91" s="3">
        <v>2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 x14ac:dyDescent="0.25">
      <c r="A92" s="2" t="s">
        <v>101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 x14ac:dyDescent="0.25">
      <c r="A93" s="2" t="s">
        <v>102</v>
      </c>
      <c r="B93" s="3">
        <v>0</v>
      </c>
      <c r="C93" s="3">
        <v>3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 x14ac:dyDescent="0.25">
      <c r="A94" s="2" t="s">
        <v>103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25">
      <c r="A95" s="2" t="s">
        <v>104</v>
      </c>
      <c r="B95" s="3">
        <v>1</v>
      </c>
      <c r="C95" s="3">
        <v>0</v>
      </c>
      <c r="D95" s="3">
        <v>0</v>
      </c>
      <c r="E95" s="3">
        <v>0</v>
      </c>
      <c r="F95" s="3">
        <v>0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2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 x14ac:dyDescent="0.25">
      <c r="A96" s="2" t="s">
        <v>105</v>
      </c>
      <c r="B96" s="3">
        <v>0</v>
      </c>
      <c r="C96" s="3">
        <v>2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1:18" x14ac:dyDescent="0.25">
      <c r="A97" s="2" t="s">
        <v>106</v>
      </c>
      <c r="B97" s="3">
        <v>3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 x14ac:dyDescent="0.25">
      <c r="A98" s="2" t="s">
        <v>107</v>
      </c>
      <c r="B98" s="3">
        <v>3</v>
      </c>
      <c r="C98" s="3">
        <v>0</v>
      </c>
      <c r="D98" s="3">
        <v>3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2</v>
      </c>
      <c r="K98" s="3">
        <v>0</v>
      </c>
      <c r="L98" s="3">
        <v>0</v>
      </c>
      <c r="M98" s="3">
        <v>4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8" x14ac:dyDescent="0.25">
      <c r="A99" s="2" t="s">
        <v>108</v>
      </c>
      <c r="B99" s="3">
        <v>3</v>
      </c>
      <c r="C99" s="3">
        <v>2</v>
      </c>
      <c r="D99" s="3">
        <v>2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1:18" x14ac:dyDescent="0.25">
      <c r="A100" s="2" t="s">
        <v>109</v>
      </c>
      <c r="B100" s="3">
        <v>3</v>
      </c>
      <c r="C100" s="3">
        <v>5</v>
      </c>
      <c r="D100" s="3">
        <v>2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</v>
      </c>
    </row>
    <row r="101" spans="1:18" x14ac:dyDescent="0.25">
      <c r="A101" s="2" t="s">
        <v>110</v>
      </c>
      <c r="B101" s="3">
        <v>0</v>
      </c>
      <c r="C101" s="3">
        <v>1</v>
      </c>
      <c r="D101" s="3">
        <v>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 x14ac:dyDescent="0.25">
      <c r="A102" s="2" t="s">
        <v>111</v>
      </c>
      <c r="B102" s="3">
        <v>0</v>
      </c>
      <c r="C102" s="3">
        <v>0</v>
      </c>
      <c r="D102" s="3">
        <v>5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 x14ac:dyDescent="0.25">
      <c r="A103" s="2" t="s">
        <v>112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 x14ac:dyDescent="0.25">
      <c r="A104" s="2" t="s">
        <v>113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 x14ac:dyDescent="0.25">
      <c r="A105" s="2" t="s">
        <v>114</v>
      </c>
      <c r="B105" s="3">
        <v>0</v>
      </c>
      <c r="C105" s="3">
        <v>2</v>
      </c>
      <c r="D105" s="3">
        <v>2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 x14ac:dyDescent="0.25">
      <c r="A106" s="2" t="s">
        <v>115</v>
      </c>
      <c r="B106" s="3">
        <v>2</v>
      </c>
      <c r="C106" s="3">
        <v>6</v>
      </c>
      <c r="D106" s="3">
        <v>1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</row>
    <row r="107" spans="1:18" x14ac:dyDescent="0.25">
      <c r="A107" s="2" t="s">
        <v>116</v>
      </c>
      <c r="B107" s="3">
        <v>0</v>
      </c>
      <c r="C107" s="3">
        <v>2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2</v>
      </c>
      <c r="M107" s="3">
        <v>1</v>
      </c>
      <c r="N107" s="3">
        <v>0</v>
      </c>
      <c r="O107" s="3">
        <v>0</v>
      </c>
      <c r="P107" s="3">
        <v>0</v>
      </c>
      <c r="Q107" s="3">
        <v>0</v>
      </c>
      <c r="R107" s="3">
        <v>2</v>
      </c>
    </row>
    <row r="108" spans="1:18" x14ac:dyDescent="0.25">
      <c r="A108" s="2" t="s">
        <v>117</v>
      </c>
      <c r="B108" s="3">
        <v>0</v>
      </c>
      <c r="C108" s="3">
        <v>7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 x14ac:dyDescent="0.25">
      <c r="A109" s="2" t="s">
        <v>118</v>
      </c>
      <c r="B109" s="3">
        <v>10</v>
      </c>
      <c r="C109" s="3">
        <v>22</v>
      </c>
      <c r="D109" s="3">
        <v>5</v>
      </c>
      <c r="E109" s="3">
        <v>1</v>
      </c>
      <c r="F109" s="3">
        <v>1</v>
      </c>
      <c r="G109" s="3">
        <v>1</v>
      </c>
      <c r="H109" s="3">
        <v>0</v>
      </c>
      <c r="I109" s="3">
        <v>2</v>
      </c>
      <c r="J109" s="3">
        <v>3</v>
      </c>
      <c r="K109" s="3">
        <v>0</v>
      </c>
      <c r="L109" s="3">
        <v>0</v>
      </c>
      <c r="M109" s="3">
        <v>1</v>
      </c>
      <c r="N109" s="3">
        <v>0</v>
      </c>
      <c r="O109" s="3">
        <v>0</v>
      </c>
      <c r="P109" s="3">
        <v>0</v>
      </c>
      <c r="Q109" s="3">
        <v>1</v>
      </c>
      <c r="R109" s="3">
        <v>2</v>
      </c>
    </row>
    <row r="110" spans="1:18" x14ac:dyDescent="0.25">
      <c r="A110" s="2" t="s">
        <v>119</v>
      </c>
      <c r="B110" s="3">
        <v>2</v>
      </c>
      <c r="C110" s="3">
        <v>11</v>
      </c>
      <c r="D110" s="3">
        <v>3</v>
      </c>
      <c r="E110" s="3">
        <v>1</v>
      </c>
      <c r="F110" s="3">
        <v>0</v>
      </c>
      <c r="G110" s="3">
        <v>3</v>
      </c>
      <c r="H110" s="3">
        <v>0</v>
      </c>
      <c r="I110" s="3">
        <v>2</v>
      </c>
      <c r="J110" s="3">
        <v>3</v>
      </c>
      <c r="K110" s="3">
        <v>0</v>
      </c>
      <c r="L110" s="3">
        <v>6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1:18" x14ac:dyDescent="0.25">
      <c r="A111" s="2" t="s">
        <v>120</v>
      </c>
      <c r="B111" s="3">
        <v>41</v>
      </c>
      <c r="C111" s="3">
        <v>49</v>
      </c>
      <c r="D111" s="3">
        <v>10</v>
      </c>
      <c r="E111" s="3">
        <v>2</v>
      </c>
      <c r="F111" s="3">
        <v>11</v>
      </c>
      <c r="G111" s="3">
        <v>3</v>
      </c>
      <c r="H111" s="3">
        <v>0</v>
      </c>
      <c r="I111" s="3">
        <v>7</v>
      </c>
      <c r="J111" s="3">
        <v>10</v>
      </c>
      <c r="K111" s="3">
        <v>0</v>
      </c>
      <c r="L111" s="3">
        <v>0</v>
      </c>
      <c r="M111" s="3">
        <v>6</v>
      </c>
      <c r="N111" s="3">
        <v>4</v>
      </c>
      <c r="O111" s="3">
        <v>0</v>
      </c>
      <c r="P111" s="3">
        <v>0</v>
      </c>
      <c r="Q111" s="3">
        <v>2</v>
      </c>
      <c r="R111" s="3">
        <v>0</v>
      </c>
    </row>
    <row r="112" spans="1:18" x14ac:dyDescent="0.25">
      <c r="A112" s="2" t="s">
        <v>121</v>
      </c>
      <c r="B112" s="3">
        <v>33</v>
      </c>
      <c r="C112" s="3">
        <v>55</v>
      </c>
      <c r="D112" s="3">
        <v>19</v>
      </c>
      <c r="E112" s="3">
        <v>3</v>
      </c>
      <c r="F112" s="3">
        <v>6</v>
      </c>
      <c r="G112" s="3">
        <v>10</v>
      </c>
      <c r="H112" s="3">
        <v>1</v>
      </c>
      <c r="I112" s="3">
        <v>10</v>
      </c>
      <c r="J112" s="3">
        <v>6</v>
      </c>
      <c r="K112" s="3">
        <v>3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</row>
    <row r="113" spans="1:18" x14ac:dyDescent="0.25">
      <c r="A113" s="2" t="s">
        <v>122</v>
      </c>
      <c r="B113" s="3">
        <v>67</v>
      </c>
      <c r="C113" s="3">
        <v>86</v>
      </c>
      <c r="D113" s="3">
        <v>4</v>
      </c>
      <c r="E113" s="3">
        <v>2</v>
      </c>
      <c r="F113" s="3">
        <v>15</v>
      </c>
      <c r="G113" s="3">
        <v>13</v>
      </c>
      <c r="H113" s="3">
        <v>1</v>
      </c>
      <c r="I113" s="3">
        <v>4</v>
      </c>
      <c r="J113" s="3">
        <v>9</v>
      </c>
      <c r="K113" s="3">
        <v>0</v>
      </c>
      <c r="L113" s="3">
        <v>2</v>
      </c>
      <c r="M113" s="3">
        <v>0</v>
      </c>
      <c r="N113" s="3">
        <v>9</v>
      </c>
      <c r="O113" s="3">
        <v>4</v>
      </c>
      <c r="P113" s="3">
        <v>1</v>
      </c>
      <c r="Q113" s="3">
        <v>3</v>
      </c>
      <c r="R113" s="3">
        <v>3</v>
      </c>
    </row>
    <row r="114" spans="1:18" x14ac:dyDescent="0.25">
      <c r="A114" s="2" t="s">
        <v>123</v>
      </c>
      <c r="B114" s="3">
        <v>13</v>
      </c>
      <c r="C114" s="3">
        <v>15</v>
      </c>
      <c r="D114" s="3">
        <v>3</v>
      </c>
      <c r="E114" s="3">
        <v>0</v>
      </c>
      <c r="F114" s="3">
        <v>3</v>
      </c>
      <c r="G114" s="3">
        <v>0</v>
      </c>
      <c r="H114" s="3">
        <v>0</v>
      </c>
      <c r="I114" s="3">
        <v>2</v>
      </c>
      <c r="J114" s="3">
        <v>6</v>
      </c>
      <c r="K114" s="3">
        <v>0</v>
      </c>
      <c r="L114" s="3">
        <v>0</v>
      </c>
      <c r="M114" s="3">
        <v>0</v>
      </c>
      <c r="N114" s="3">
        <v>2</v>
      </c>
      <c r="O114" s="3">
        <v>0</v>
      </c>
      <c r="P114" s="3">
        <v>2</v>
      </c>
      <c r="Q114" s="3">
        <v>0</v>
      </c>
      <c r="R114" s="3">
        <v>0</v>
      </c>
    </row>
    <row r="115" spans="1:18" x14ac:dyDescent="0.25">
      <c r="A115" s="2" t="s">
        <v>3</v>
      </c>
      <c r="B115" s="3">
        <v>0</v>
      </c>
      <c r="C115" s="3">
        <v>636</v>
      </c>
      <c r="D115" s="3">
        <v>13</v>
      </c>
      <c r="E115" s="3">
        <v>21</v>
      </c>
      <c r="F115" s="3">
        <v>210</v>
      </c>
      <c r="G115" s="3">
        <v>25</v>
      </c>
      <c r="H115" s="3">
        <v>14</v>
      </c>
      <c r="I115" s="3">
        <v>19</v>
      </c>
      <c r="J115" s="3">
        <v>22</v>
      </c>
      <c r="K115" s="3">
        <v>9</v>
      </c>
      <c r="L115" s="3">
        <v>0</v>
      </c>
      <c r="M115" s="3">
        <v>6</v>
      </c>
      <c r="N115" s="3">
        <v>4</v>
      </c>
      <c r="O115" s="3">
        <v>1</v>
      </c>
      <c r="P115" s="3">
        <v>1</v>
      </c>
      <c r="Q115" s="3">
        <v>3</v>
      </c>
      <c r="R115" s="3">
        <v>7</v>
      </c>
    </row>
    <row r="116" spans="1:18" x14ac:dyDescent="0.25">
      <c r="A116" s="2" t="s">
        <v>4</v>
      </c>
      <c r="B116" s="3">
        <v>596</v>
      </c>
      <c r="C116" s="3">
        <v>0</v>
      </c>
      <c r="D116" s="3">
        <v>24</v>
      </c>
      <c r="E116" s="3">
        <v>68</v>
      </c>
      <c r="F116" s="3">
        <v>118</v>
      </c>
      <c r="G116" s="3">
        <v>31</v>
      </c>
      <c r="H116" s="3">
        <v>29</v>
      </c>
      <c r="I116" s="3">
        <v>66</v>
      </c>
      <c r="J116" s="3">
        <v>65</v>
      </c>
      <c r="K116" s="3">
        <v>11</v>
      </c>
      <c r="L116" s="3">
        <v>3</v>
      </c>
      <c r="M116" s="3">
        <v>5</v>
      </c>
      <c r="N116" s="3">
        <v>8</v>
      </c>
      <c r="O116" s="3">
        <v>4</v>
      </c>
      <c r="P116" s="3">
        <v>0</v>
      </c>
      <c r="Q116" s="3">
        <v>5</v>
      </c>
      <c r="R116" s="3">
        <v>24</v>
      </c>
    </row>
    <row r="117" spans="1:18" x14ac:dyDescent="0.25">
      <c r="A117" s="2" t="s">
        <v>5</v>
      </c>
      <c r="B117" s="3">
        <v>11</v>
      </c>
      <c r="C117" s="3">
        <v>21</v>
      </c>
      <c r="D117" s="3">
        <v>0</v>
      </c>
      <c r="E117" s="3">
        <v>0</v>
      </c>
      <c r="F117" s="3">
        <v>0</v>
      </c>
      <c r="G117" s="3">
        <v>2</v>
      </c>
      <c r="H117" s="3">
        <v>0</v>
      </c>
      <c r="I117" s="3">
        <v>12</v>
      </c>
      <c r="J117" s="3">
        <v>45</v>
      </c>
      <c r="K117" s="3">
        <v>5</v>
      </c>
      <c r="L117" s="3">
        <v>29</v>
      </c>
      <c r="M117" s="3">
        <v>17</v>
      </c>
      <c r="N117" s="3">
        <v>4</v>
      </c>
      <c r="O117" s="3">
        <v>2</v>
      </c>
      <c r="P117" s="3">
        <v>0</v>
      </c>
      <c r="Q117" s="3">
        <v>3</v>
      </c>
      <c r="R117" s="3">
        <v>1</v>
      </c>
    </row>
    <row r="118" spans="1:18" x14ac:dyDescent="0.25">
      <c r="A118" s="2" t="s">
        <v>6</v>
      </c>
      <c r="B118" s="3">
        <v>10</v>
      </c>
      <c r="C118" s="3">
        <v>50</v>
      </c>
      <c r="D118" s="3">
        <v>0</v>
      </c>
      <c r="E118" s="3">
        <v>0</v>
      </c>
      <c r="F118" s="3">
        <v>0</v>
      </c>
      <c r="G118" s="3">
        <v>2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3</v>
      </c>
    </row>
    <row r="119" spans="1:18" x14ac:dyDescent="0.25">
      <c r="A119" s="2" t="s">
        <v>7</v>
      </c>
      <c r="B119" s="3">
        <v>198</v>
      </c>
      <c r="C119" s="3">
        <v>90</v>
      </c>
      <c r="D119" s="3">
        <v>3</v>
      </c>
      <c r="E119" s="3">
        <v>4</v>
      </c>
      <c r="F119" s="3">
        <v>0</v>
      </c>
      <c r="G119" s="3">
        <v>17</v>
      </c>
      <c r="H119" s="3">
        <v>2</v>
      </c>
      <c r="I119" s="3">
        <v>3</v>
      </c>
      <c r="J119" s="3">
        <v>8</v>
      </c>
      <c r="K119" s="3">
        <v>2</v>
      </c>
      <c r="L119" s="3">
        <v>0</v>
      </c>
      <c r="M119" s="3">
        <v>7</v>
      </c>
      <c r="N119" s="3">
        <v>2</v>
      </c>
      <c r="O119" s="3">
        <v>0</v>
      </c>
      <c r="P119" s="3">
        <v>0</v>
      </c>
      <c r="Q119" s="3">
        <v>4</v>
      </c>
      <c r="R119" s="3">
        <v>6</v>
      </c>
    </row>
    <row r="120" spans="1:18" x14ac:dyDescent="0.25">
      <c r="A120" s="2" t="s">
        <v>8</v>
      </c>
      <c r="B120" s="3">
        <v>30</v>
      </c>
      <c r="C120" s="3">
        <v>24</v>
      </c>
      <c r="D120" s="3">
        <v>0</v>
      </c>
      <c r="E120" s="3">
        <v>0</v>
      </c>
      <c r="F120" s="3">
        <v>17</v>
      </c>
      <c r="G120" s="3">
        <v>0</v>
      </c>
      <c r="H120" s="3">
        <v>20</v>
      </c>
      <c r="I120" s="3">
        <v>1</v>
      </c>
      <c r="J120" s="3">
        <v>8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1</v>
      </c>
      <c r="Q120" s="3">
        <v>0</v>
      </c>
      <c r="R120" s="3">
        <v>3</v>
      </c>
    </row>
    <row r="121" spans="1:18" x14ac:dyDescent="0.25">
      <c r="A121" s="2" t="s">
        <v>9</v>
      </c>
      <c r="B121" s="3">
        <v>12</v>
      </c>
      <c r="C121" s="3">
        <v>33</v>
      </c>
      <c r="D121" s="3">
        <v>0</v>
      </c>
      <c r="E121" s="3">
        <v>0</v>
      </c>
      <c r="F121" s="3">
        <v>1</v>
      </c>
      <c r="G121" s="3">
        <v>22</v>
      </c>
      <c r="H121" s="3">
        <v>0</v>
      </c>
      <c r="I121" s="3">
        <v>5</v>
      </c>
      <c r="J121" s="3">
        <v>4</v>
      </c>
      <c r="K121" s="3">
        <v>1</v>
      </c>
      <c r="L121" s="3">
        <v>0</v>
      </c>
      <c r="M121" s="3">
        <v>1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 x14ac:dyDescent="0.25">
      <c r="A122" s="2" t="s">
        <v>10</v>
      </c>
      <c r="B122" s="3">
        <v>26</v>
      </c>
      <c r="C122" s="3">
        <v>39</v>
      </c>
      <c r="D122" s="3">
        <v>4</v>
      </c>
      <c r="E122" s="3">
        <v>0</v>
      </c>
      <c r="F122" s="3">
        <v>4</v>
      </c>
      <c r="G122" s="3">
        <v>3</v>
      </c>
      <c r="H122" s="3">
        <v>3</v>
      </c>
      <c r="I122" s="3">
        <v>0</v>
      </c>
      <c r="J122" s="3">
        <v>51</v>
      </c>
      <c r="K122" s="3">
        <v>2</v>
      </c>
      <c r="L122" s="3">
        <v>1</v>
      </c>
      <c r="M122" s="3">
        <v>0</v>
      </c>
      <c r="N122" s="3">
        <v>4</v>
      </c>
      <c r="O122" s="3">
        <v>0</v>
      </c>
      <c r="P122" s="3">
        <v>2</v>
      </c>
      <c r="Q122" s="3">
        <v>0</v>
      </c>
      <c r="R122" s="3">
        <v>9</v>
      </c>
    </row>
    <row r="123" spans="1:18" x14ac:dyDescent="0.25">
      <c r="A123" s="2" t="s">
        <v>11</v>
      </c>
      <c r="B123" s="3">
        <v>8</v>
      </c>
      <c r="C123" s="3">
        <v>51</v>
      </c>
      <c r="D123" s="3">
        <v>49</v>
      </c>
      <c r="E123" s="3">
        <v>2</v>
      </c>
      <c r="F123" s="3">
        <v>5</v>
      </c>
      <c r="G123" s="3">
        <v>0</v>
      </c>
      <c r="H123" s="3">
        <v>8</v>
      </c>
      <c r="I123" s="3">
        <v>58</v>
      </c>
      <c r="J123" s="3">
        <v>0</v>
      </c>
      <c r="K123" s="3">
        <v>17</v>
      </c>
      <c r="L123" s="3">
        <v>3</v>
      </c>
      <c r="M123" s="3">
        <v>3</v>
      </c>
      <c r="N123" s="3">
        <v>11</v>
      </c>
      <c r="O123" s="3">
        <v>1</v>
      </c>
      <c r="P123" s="3">
        <v>1</v>
      </c>
      <c r="Q123" s="3">
        <v>5</v>
      </c>
      <c r="R123" s="3">
        <v>11</v>
      </c>
    </row>
    <row r="124" spans="1:18" x14ac:dyDescent="0.25">
      <c r="A124" s="2" t="s">
        <v>12</v>
      </c>
      <c r="B124" s="3">
        <v>0</v>
      </c>
      <c r="C124" s="3">
        <v>4</v>
      </c>
      <c r="D124" s="3">
        <v>8</v>
      </c>
      <c r="E124" s="3">
        <v>0</v>
      </c>
      <c r="F124" s="3">
        <v>2</v>
      </c>
      <c r="G124" s="3">
        <v>0</v>
      </c>
      <c r="H124" s="3">
        <v>1</v>
      </c>
      <c r="I124" s="3">
        <v>3</v>
      </c>
      <c r="J124" s="3">
        <v>16</v>
      </c>
      <c r="K124" s="3">
        <v>0</v>
      </c>
      <c r="L124" s="3">
        <v>3</v>
      </c>
      <c r="M124" s="3">
        <v>0</v>
      </c>
      <c r="N124" s="3">
        <v>9</v>
      </c>
      <c r="O124" s="3">
        <v>0</v>
      </c>
      <c r="P124" s="3">
        <v>0</v>
      </c>
      <c r="Q124" s="3">
        <v>3</v>
      </c>
      <c r="R124" s="3">
        <v>2</v>
      </c>
    </row>
    <row r="125" spans="1:18" x14ac:dyDescent="0.25">
      <c r="A125" s="2" t="s">
        <v>13</v>
      </c>
      <c r="B125" s="3">
        <v>3</v>
      </c>
      <c r="C125" s="3">
        <v>4</v>
      </c>
      <c r="D125" s="3">
        <v>27</v>
      </c>
      <c r="E125" s="3">
        <v>0</v>
      </c>
      <c r="F125" s="3">
        <v>0</v>
      </c>
      <c r="G125" s="3">
        <v>0</v>
      </c>
      <c r="H125" s="3">
        <v>0</v>
      </c>
      <c r="I125" s="3">
        <v>4</v>
      </c>
      <c r="J125" s="3">
        <v>0</v>
      </c>
      <c r="K125" s="3">
        <v>5</v>
      </c>
      <c r="L125" s="3">
        <v>0</v>
      </c>
      <c r="M125" s="3">
        <v>4</v>
      </c>
      <c r="N125" s="3">
        <v>1</v>
      </c>
      <c r="O125" s="3">
        <v>0</v>
      </c>
      <c r="P125" s="3">
        <v>0</v>
      </c>
      <c r="Q125" s="3">
        <v>0</v>
      </c>
      <c r="R125" s="3">
        <v>0</v>
      </c>
    </row>
    <row r="126" spans="1:18" x14ac:dyDescent="0.25">
      <c r="A126" s="2" t="s">
        <v>14</v>
      </c>
      <c r="B126" s="3">
        <v>6</v>
      </c>
      <c r="C126" s="3">
        <v>8</v>
      </c>
      <c r="D126" s="3">
        <v>30</v>
      </c>
      <c r="E126" s="3">
        <v>0</v>
      </c>
      <c r="F126" s="3">
        <v>0</v>
      </c>
      <c r="G126" s="3">
        <v>3</v>
      </c>
      <c r="H126" s="3">
        <v>2</v>
      </c>
      <c r="I126" s="3">
        <v>9</v>
      </c>
      <c r="J126" s="3">
        <v>0</v>
      </c>
      <c r="K126" s="3">
        <v>2</v>
      </c>
      <c r="L126" s="3">
        <v>4</v>
      </c>
      <c r="M126" s="3">
        <v>0</v>
      </c>
      <c r="N126" s="3">
        <v>3</v>
      </c>
      <c r="O126" s="3">
        <v>0</v>
      </c>
      <c r="P126" s="3">
        <v>0</v>
      </c>
      <c r="Q126" s="3">
        <v>0</v>
      </c>
      <c r="R126" s="3">
        <v>6</v>
      </c>
    </row>
    <row r="127" spans="1:18" x14ac:dyDescent="0.25">
      <c r="A127" s="2" t="s">
        <v>15</v>
      </c>
      <c r="B127" s="3">
        <v>11</v>
      </c>
      <c r="C127" s="3">
        <v>4</v>
      </c>
      <c r="D127" s="3">
        <v>0</v>
      </c>
      <c r="E127" s="3">
        <v>0</v>
      </c>
      <c r="F127" s="3">
        <v>2</v>
      </c>
      <c r="G127" s="3">
        <v>0</v>
      </c>
      <c r="H127" s="3">
        <v>3</v>
      </c>
      <c r="I127" s="3">
        <v>2</v>
      </c>
      <c r="J127" s="3">
        <v>7</v>
      </c>
      <c r="K127" s="3">
        <v>7</v>
      </c>
      <c r="L127" s="3">
        <v>1</v>
      </c>
      <c r="M127" s="3">
        <v>3</v>
      </c>
      <c r="N127" s="3">
        <v>0</v>
      </c>
      <c r="O127" s="3">
        <v>0</v>
      </c>
      <c r="P127" s="3">
        <v>0</v>
      </c>
      <c r="Q127" s="3">
        <v>10</v>
      </c>
      <c r="R127" s="3">
        <v>2</v>
      </c>
    </row>
    <row r="128" spans="1:18" x14ac:dyDescent="0.25">
      <c r="A128" s="2" t="s">
        <v>16</v>
      </c>
      <c r="B128" s="3">
        <v>6</v>
      </c>
      <c r="C128" s="3">
        <v>4</v>
      </c>
      <c r="D128" s="3">
        <v>0</v>
      </c>
      <c r="E128" s="3">
        <v>0</v>
      </c>
      <c r="F128" s="3">
        <v>0</v>
      </c>
      <c r="G128" s="3">
        <v>0</v>
      </c>
      <c r="H128" s="3">
        <v>3</v>
      </c>
      <c r="I128" s="3">
        <v>4</v>
      </c>
      <c r="J128" s="3">
        <v>0</v>
      </c>
      <c r="K128" s="3">
        <v>1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 x14ac:dyDescent="0.25">
      <c r="A129" s="2" t="s">
        <v>17</v>
      </c>
      <c r="B129" s="3">
        <v>5</v>
      </c>
      <c r="C129" s="3">
        <v>15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2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2</v>
      </c>
    </row>
    <row r="130" spans="1:18" x14ac:dyDescent="0.25">
      <c r="A130" s="2" t="s">
        <v>18</v>
      </c>
      <c r="B130" s="3">
        <v>2</v>
      </c>
      <c r="C130" s="3">
        <v>3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5</v>
      </c>
      <c r="K130" s="3">
        <v>0</v>
      </c>
      <c r="L130" s="3">
        <v>0</v>
      </c>
      <c r="M130" s="3">
        <v>0</v>
      </c>
      <c r="N130" s="3">
        <v>10</v>
      </c>
      <c r="O130" s="3">
        <v>2</v>
      </c>
      <c r="P130" s="3">
        <v>0</v>
      </c>
      <c r="Q130" s="3">
        <v>0</v>
      </c>
      <c r="R130" s="3">
        <v>11</v>
      </c>
    </row>
    <row r="131" spans="1:18" x14ac:dyDescent="0.25">
      <c r="A131" s="2" t="s">
        <v>19</v>
      </c>
      <c r="B131" s="3">
        <v>2</v>
      </c>
      <c r="C131" s="3">
        <v>13</v>
      </c>
      <c r="D131" s="3">
        <v>1</v>
      </c>
      <c r="E131" s="3">
        <v>0</v>
      </c>
      <c r="F131" s="3">
        <v>0</v>
      </c>
      <c r="G131" s="3">
        <v>0</v>
      </c>
      <c r="H131" s="3">
        <v>0</v>
      </c>
      <c r="I131" s="3">
        <v>7</v>
      </c>
      <c r="J131" s="3">
        <v>14</v>
      </c>
      <c r="K131" s="3">
        <v>9</v>
      </c>
      <c r="L131" s="3">
        <v>0</v>
      </c>
      <c r="M131" s="3">
        <v>3</v>
      </c>
      <c r="N131" s="3">
        <v>1</v>
      </c>
      <c r="O131" s="3">
        <v>0</v>
      </c>
      <c r="P131" s="3">
        <v>0</v>
      </c>
      <c r="Q131" s="3">
        <v>3</v>
      </c>
      <c r="R131" s="3">
        <v>0</v>
      </c>
    </row>
    <row r="132" spans="1:18" x14ac:dyDescent="0.25">
      <c r="A132" s="2" t="s">
        <v>124</v>
      </c>
      <c r="B132" s="3">
        <v>5</v>
      </c>
      <c r="C132" s="3">
        <v>5</v>
      </c>
      <c r="D132" s="3">
        <v>0</v>
      </c>
      <c r="E132" s="3">
        <v>0</v>
      </c>
      <c r="F132" s="3">
        <v>0</v>
      </c>
      <c r="G132" s="3">
        <v>9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  <c r="M132" s="3">
        <v>2</v>
      </c>
      <c r="N132" s="3">
        <v>2</v>
      </c>
      <c r="O132" s="3">
        <v>0</v>
      </c>
      <c r="P132" s="3">
        <v>0</v>
      </c>
      <c r="Q132" s="3">
        <v>0</v>
      </c>
      <c r="R132" s="3">
        <v>0</v>
      </c>
    </row>
    <row r="133" spans="1:18" x14ac:dyDescent="0.25">
      <c r="A133" s="2" t="s">
        <v>125</v>
      </c>
      <c r="B133" s="3">
        <v>7</v>
      </c>
      <c r="C133" s="3">
        <v>11</v>
      </c>
      <c r="D133" s="3">
        <v>1</v>
      </c>
      <c r="E133" s="3">
        <v>0</v>
      </c>
      <c r="F133" s="3">
        <v>1</v>
      </c>
      <c r="G133" s="3">
        <v>5</v>
      </c>
      <c r="H133" s="3">
        <v>2</v>
      </c>
      <c r="I133" s="3">
        <v>5</v>
      </c>
      <c r="J133" s="3">
        <v>6</v>
      </c>
      <c r="K133" s="3">
        <v>1</v>
      </c>
      <c r="L133" s="3">
        <v>0</v>
      </c>
      <c r="M133" s="3">
        <v>5</v>
      </c>
      <c r="N133" s="3">
        <v>0</v>
      </c>
      <c r="O133" s="3">
        <v>2</v>
      </c>
      <c r="P133" s="3">
        <v>0</v>
      </c>
      <c r="Q133" s="3">
        <v>0</v>
      </c>
      <c r="R133" s="3">
        <v>1</v>
      </c>
    </row>
    <row r="134" spans="1:18" x14ac:dyDescent="0.25">
      <c r="A134" s="2" t="s">
        <v>126</v>
      </c>
      <c r="B134" s="3">
        <v>8</v>
      </c>
      <c r="C134" s="3">
        <v>27</v>
      </c>
      <c r="D134" s="3">
        <v>6</v>
      </c>
      <c r="E134" s="3">
        <v>0</v>
      </c>
      <c r="F134" s="3">
        <v>6</v>
      </c>
      <c r="G134" s="3">
        <v>9</v>
      </c>
      <c r="H134" s="3">
        <v>0</v>
      </c>
      <c r="I134" s="3">
        <v>3</v>
      </c>
      <c r="J134" s="3">
        <v>8</v>
      </c>
      <c r="K134" s="3">
        <v>0</v>
      </c>
      <c r="L134" s="3">
        <v>0</v>
      </c>
      <c r="M134" s="3">
        <v>2</v>
      </c>
      <c r="N134" s="3">
        <v>0</v>
      </c>
      <c r="O134" s="3">
        <v>7</v>
      </c>
      <c r="P134" s="3">
        <v>0</v>
      </c>
      <c r="Q134" s="3">
        <v>0</v>
      </c>
      <c r="R134" s="3">
        <v>0</v>
      </c>
    </row>
    <row r="135" spans="1:18" x14ac:dyDescent="0.25">
      <c r="A135" s="2" t="s">
        <v>127</v>
      </c>
      <c r="B135" s="3">
        <v>63</v>
      </c>
      <c r="C135" s="3">
        <v>88</v>
      </c>
      <c r="D135" s="3">
        <v>16</v>
      </c>
      <c r="E135" s="3">
        <v>3</v>
      </c>
      <c r="F135" s="3">
        <v>14</v>
      </c>
      <c r="G135" s="3">
        <v>21</v>
      </c>
      <c r="H135" s="3">
        <v>5</v>
      </c>
      <c r="I135" s="3">
        <v>7</v>
      </c>
      <c r="J135" s="3">
        <v>13</v>
      </c>
      <c r="K135" s="3">
        <v>3</v>
      </c>
      <c r="L135" s="3">
        <v>1</v>
      </c>
      <c r="M135" s="3">
        <v>2</v>
      </c>
      <c r="N135" s="3">
        <v>7</v>
      </c>
      <c r="O135" s="3">
        <v>1</v>
      </c>
      <c r="P135" s="3">
        <v>2</v>
      </c>
      <c r="Q135" s="3">
        <v>5</v>
      </c>
      <c r="R135" s="3">
        <v>7</v>
      </c>
    </row>
    <row r="136" spans="1:18" x14ac:dyDescent="0.25">
      <c r="A136" s="2" t="s">
        <v>128</v>
      </c>
      <c r="B136" s="3">
        <v>2</v>
      </c>
      <c r="C136" s="3">
        <v>8</v>
      </c>
      <c r="D136" s="3">
        <v>4</v>
      </c>
      <c r="E136" s="3">
        <v>0</v>
      </c>
      <c r="F136" s="3">
        <v>2</v>
      </c>
      <c r="G136" s="3">
        <v>3</v>
      </c>
      <c r="H136" s="3">
        <v>0</v>
      </c>
      <c r="I136" s="3">
        <v>1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2</v>
      </c>
    </row>
    <row r="137" spans="1:18" x14ac:dyDescent="0.25">
      <c r="A137" s="2" t="s">
        <v>129</v>
      </c>
      <c r="B137" s="3">
        <v>0</v>
      </c>
      <c r="C137" s="3">
        <v>0</v>
      </c>
      <c r="D137" s="3">
        <v>0</v>
      </c>
      <c r="E137" s="3">
        <v>1</v>
      </c>
      <c r="F137" s="3">
        <v>0</v>
      </c>
      <c r="G137" s="3">
        <v>0</v>
      </c>
      <c r="H137" s="3">
        <v>0</v>
      </c>
      <c r="I137" s="3">
        <v>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 x14ac:dyDescent="0.25">
      <c r="A138" s="2" t="s">
        <v>130</v>
      </c>
      <c r="B138" s="3">
        <v>2</v>
      </c>
      <c r="C138" s="3">
        <v>1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 x14ac:dyDescent="0.25">
      <c r="A139" s="2" t="s">
        <v>131</v>
      </c>
      <c r="B139" s="3">
        <v>6</v>
      </c>
      <c r="C139" s="3">
        <v>3</v>
      </c>
      <c r="D139" s="3">
        <v>0</v>
      </c>
      <c r="E139" s="3">
        <v>0</v>
      </c>
      <c r="F139" s="3">
        <v>2</v>
      </c>
      <c r="G139" s="3">
        <v>14</v>
      </c>
      <c r="H139" s="3">
        <v>0</v>
      </c>
      <c r="I139" s="3">
        <v>0</v>
      </c>
      <c r="J139" s="3">
        <v>4</v>
      </c>
      <c r="K139" s="3">
        <v>0</v>
      </c>
      <c r="L139" s="3">
        <v>0</v>
      </c>
      <c r="M139" s="3">
        <v>0</v>
      </c>
      <c r="N139" s="3">
        <v>0</v>
      </c>
      <c r="O139" s="3">
        <v>1</v>
      </c>
      <c r="P139" s="3">
        <v>0</v>
      </c>
      <c r="Q139" s="3">
        <v>0</v>
      </c>
      <c r="R139" s="3">
        <v>0</v>
      </c>
    </row>
    <row r="140" spans="1:18" x14ac:dyDescent="0.25">
      <c r="A140" s="2" t="s">
        <v>132</v>
      </c>
      <c r="B140" s="3">
        <v>0</v>
      </c>
      <c r="C140" s="3">
        <v>2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 x14ac:dyDescent="0.25">
      <c r="A141" s="2" t="s">
        <v>133</v>
      </c>
      <c r="B141" s="3">
        <v>2</v>
      </c>
      <c r="C141" s="3">
        <v>6</v>
      </c>
      <c r="D141" s="3">
        <v>0</v>
      </c>
      <c r="E141" s="3">
        <v>0</v>
      </c>
      <c r="F141" s="3">
        <v>3</v>
      </c>
      <c r="G141" s="3">
        <v>3</v>
      </c>
      <c r="H141" s="3">
        <v>0</v>
      </c>
      <c r="I141" s="3">
        <v>0</v>
      </c>
      <c r="J141" s="3">
        <v>1</v>
      </c>
      <c r="K141" s="3">
        <v>1</v>
      </c>
      <c r="L141" s="3">
        <v>1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1</v>
      </c>
    </row>
    <row r="142" spans="1:18" x14ac:dyDescent="0.25">
      <c r="A142" s="2" t="s">
        <v>134</v>
      </c>
      <c r="B142" s="3">
        <v>1</v>
      </c>
      <c r="C142" s="3">
        <v>3</v>
      </c>
      <c r="D142" s="3">
        <v>0</v>
      </c>
      <c r="E142" s="3">
        <v>0</v>
      </c>
      <c r="F142" s="3">
        <v>1</v>
      </c>
      <c r="G142" s="3">
        <v>2</v>
      </c>
      <c r="H142" s="3">
        <v>3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 x14ac:dyDescent="0.25">
      <c r="A143" s="2" t="s">
        <v>135</v>
      </c>
      <c r="B143" s="3">
        <v>0</v>
      </c>
      <c r="C143" s="3">
        <v>4</v>
      </c>
      <c r="D143" s="3">
        <v>4</v>
      </c>
      <c r="E143" s="3">
        <v>0</v>
      </c>
      <c r="F143" s="3">
        <v>0</v>
      </c>
      <c r="G143" s="3">
        <v>1</v>
      </c>
      <c r="H143" s="3">
        <v>2</v>
      </c>
      <c r="I143" s="3">
        <v>0</v>
      </c>
      <c r="J143" s="3">
        <v>2</v>
      </c>
      <c r="K143" s="3">
        <v>2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x14ac:dyDescent="0.25">
      <c r="A144" s="2" t="s">
        <v>136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2</v>
      </c>
      <c r="K144" s="3">
        <v>0</v>
      </c>
      <c r="L144" s="3">
        <v>0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 x14ac:dyDescent="0.25">
      <c r="A145" s="2" t="s">
        <v>137</v>
      </c>
      <c r="B145" s="3">
        <v>0</v>
      </c>
      <c r="C145" s="3">
        <v>3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x14ac:dyDescent="0.25">
      <c r="A146" s="2" t="s">
        <v>138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 x14ac:dyDescent="0.25">
      <c r="A147" s="2" t="s">
        <v>139</v>
      </c>
      <c r="B147" s="3">
        <v>1</v>
      </c>
      <c r="C147" s="3">
        <v>1</v>
      </c>
      <c r="D147" s="3">
        <v>3</v>
      </c>
      <c r="E147" s="3">
        <v>0</v>
      </c>
      <c r="F147" s="3">
        <v>0</v>
      </c>
      <c r="G147" s="3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 x14ac:dyDescent="0.25">
      <c r="A148" s="2" t="s">
        <v>140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</row>
    <row r="149" spans="1:18" x14ac:dyDescent="0.25">
      <c r="A149" s="2" t="s">
        <v>141</v>
      </c>
      <c r="B149" s="3">
        <v>0</v>
      </c>
      <c r="C149" s="3">
        <v>4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 x14ac:dyDescent="0.25">
      <c r="A150" s="2" t="s">
        <v>142</v>
      </c>
      <c r="B150" s="3">
        <v>0</v>
      </c>
      <c r="C150" s="3">
        <v>0</v>
      </c>
      <c r="D150" s="3">
        <v>1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 x14ac:dyDescent="0.25">
      <c r="A151" s="2" t="s">
        <v>143</v>
      </c>
      <c r="B151" s="3">
        <v>3</v>
      </c>
      <c r="C151" s="3">
        <v>3</v>
      </c>
      <c r="D151" s="3">
        <v>0</v>
      </c>
      <c r="E151" s="3">
        <v>0</v>
      </c>
      <c r="F151" s="3">
        <v>0</v>
      </c>
      <c r="G151" s="3">
        <v>1</v>
      </c>
      <c r="H151" s="3">
        <v>0</v>
      </c>
      <c r="I151" s="3">
        <v>0</v>
      </c>
      <c r="J151" s="3">
        <v>0</v>
      </c>
      <c r="K151" s="3">
        <v>0</v>
      </c>
      <c r="L151" s="3">
        <v>1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</row>
    <row r="152" spans="1:18" x14ac:dyDescent="0.25">
      <c r="A152" s="2" t="s">
        <v>144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</row>
    <row r="153" spans="1:18" x14ac:dyDescent="0.25">
      <c r="A153" s="2" t="s">
        <v>145</v>
      </c>
      <c r="B153" s="3">
        <v>0</v>
      </c>
      <c r="C153" s="3">
        <v>4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3</v>
      </c>
    </row>
    <row r="154" spans="1:18" x14ac:dyDescent="0.25">
      <c r="A154" s="2" t="s">
        <v>146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 x14ac:dyDescent="0.25">
      <c r="A155" s="2" t="s">
        <v>147</v>
      </c>
      <c r="B155" s="3">
        <v>2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1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x14ac:dyDescent="0.25">
      <c r="A156" s="2" t="s">
        <v>148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25">
      <c r="A157" s="2" t="s">
        <v>149</v>
      </c>
      <c r="B157" s="3">
        <v>4</v>
      </c>
      <c r="C157" s="3">
        <v>3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8</v>
      </c>
      <c r="J157" s="3">
        <v>1</v>
      </c>
      <c r="K157" s="3">
        <v>0</v>
      </c>
      <c r="L157" s="3">
        <v>2</v>
      </c>
      <c r="M157" s="3">
        <v>1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</row>
    <row r="158" spans="1:18" x14ac:dyDescent="0.25">
      <c r="A158" s="2" t="s">
        <v>150</v>
      </c>
      <c r="B158" s="3">
        <v>19</v>
      </c>
      <c r="C158" s="3">
        <v>23</v>
      </c>
      <c r="D158" s="3">
        <v>6</v>
      </c>
      <c r="E158" s="3">
        <v>0</v>
      </c>
      <c r="F158" s="3">
        <v>4</v>
      </c>
      <c r="G158" s="3">
        <v>3</v>
      </c>
      <c r="H158" s="3">
        <v>2</v>
      </c>
      <c r="I158" s="3">
        <v>9</v>
      </c>
      <c r="J158" s="3">
        <v>9</v>
      </c>
      <c r="K158" s="3">
        <v>0</v>
      </c>
      <c r="L158" s="3">
        <v>2</v>
      </c>
      <c r="M158" s="3">
        <v>0</v>
      </c>
      <c r="N158" s="3">
        <v>3</v>
      </c>
      <c r="O158" s="3">
        <v>2</v>
      </c>
      <c r="P158" s="3">
        <v>0</v>
      </c>
      <c r="Q158" s="3">
        <v>1</v>
      </c>
      <c r="R158" s="3">
        <v>1</v>
      </c>
    </row>
    <row r="159" spans="1:18" x14ac:dyDescent="0.25">
      <c r="A159" s="2" t="s">
        <v>151</v>
      </c>
      <c r="B159" s="3">
        <v>5</v>
      </c>
      <c r="C159" s="3">
        <v>12</v>
      </c>
      <c r="D159" s="3">
        <v>0</v>
      </c>
      <c r="E159" s="3">
        <v>0</v>
      </c>
      <c r="F159" s="3">
        <v>5</v>
      </c>
      <c r="G159" s="3">
        <v>0</v>
      </c>
      <c r="H159" s="3">
        <v>0</v>
      </c>
      <c r="I159" s="3">
        <v>1</v>
      </c>
      <c r="J159" s="3">
        <v>2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2</v>
      </c>
    </row>
    <row r="160" spans="1:18" x14ac:dyDescent="0.25">
      <c r="A160" s="2" t="s">
        <v>152</v>
      </c>
      <c r="B160" s="3">
        <v>6</v>
      </c>
      <c r="C160" s="3">
        <v>10</v>
      </c>
      <c r="D160" s="3">
        <v>0</v>
      </c>
      <c r="E160" s="3">
        <v>0</v>
      </c>
      <c r="F160" s="3">
        <v>1</v>
      </c>
      <c r="G160" s="3">
        <v>2</v>
      </c>
      <c r="H160" s="3">
        <v>0</v>
      </c>
      <c r="I160" s="3">
        <v>5</v>
      </c>
      <c r="J160" s="3">
        <v>7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</row>
    <row r="161" spans="1:18" x14ac:dyDescent="0.25">
      <c r="A161" s="2" t="s">
        <v>153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x14ac:dyDescent="0.25">
      <c r="A162" s="2" t="s">
        <v>154</v>
      </c>
      <c r="B162" s="3">
        <v>0</v>
      </c>
      <c r="C162" s="3">
        <v>1</v>
      </c>
      <c r="D162" s="3">
        <v>2</v>
      </c>
      <c r="E162" s="3">
        <v>0</v>
      </c>
      <c r="F162" s="3">
        <v>0</v>
      </c>
      <c r="G162" s="3">
        <v>3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x14ac:dyDescent="0.25">
      <c r="A163" s="2" t="s">
        <v>155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25">
      <c r="A164" s="2" t="s">
        <v>156</v>
      </c>
      <c r="B164" s="3">
        <v>5</v>
      </c>
      <c r="C164" s="3">
        <v>2</v>
      </c>
      <c r="D164" s="3">
        <v>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3</v>
      </c>
      <c r="K164" s="3">
        <v>0</v>
      </c>
      <c r="L164" s="3">
        <v>4</v>
      </c>
      <c r="M164" s="3">
        <v>0</v>
      </c>
      <c r="N164" s="3">
        <v>0</v>
      </c>
      <c r="O164" s="3">
        <v>2</v>
      </c>
      <c r="P164" s="3">
        <v>0</v>
      </c>
      <c r="Q164" s="3">
        <v>0</v>
      </c>
      <c r="R164" s="3">
        <v>0</v>
      </c>
    </row>
    <row r="165" spans="1:18" x14ac:dyDescent="0.25">
      <c r="A165" s="2" t="s">
        <v>157</v>
      </c>
      <c r="B165" s="3">
        <v>0</v>
      </c>
      <c r="C165" s="3">
        <v>4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2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</row>
    <row r="166" spans="1:18" x14ac:dyDescent="0.25">
      <c r="A166" s="2" t="s">
        <v>158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</row>
    <row r="167" spans="1:18" x14ac:dyDescent="0.25">
      <c r="A167" s="2" t="s">
        <v>159</v>
      </c>
      <c r="B167" s="3">
        <v>0</v>
      </c>
      <c r="C167" s="3">
        <v>4</v>
      </c>
      <c r="D167" s="3">
        <v>2</v>
      </c>
      <c r="E167" s="3">
        <v>0</v>
      </c>
      <c r="F167" s="3">
        <v>0</v>
      </c>
      <c r="G167" s="3">
        <v>2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2</v>
      </c>
    </row>
    <row r="168" spans="1:18" x14ac:dyDescent="0.25">
      <c r="A168" s="2" t="s">
        <v>160</v>
      </c>
      <c r="B168" s="3">
        <v>4</v>
      </c>
      <c r="C168" s="3">
        <v>4</v>
      </c>
      <c r="D168" s="3">
        <v>0</v>
      </c>
      <c r="E168" s="3">
        <v>0</v>
      </c>
      <c r="F168" s="3">
        <v>2</v>
      </c>
      <c r="G168" s="3">
        <v>0</v>
      </c>
      <c r="H168" s="3">
        <v>0</v>
      </c>
      <c r="I168" s="3">
        <v>0</v>
      </c>
      <c r="J168" s="3">
        <v>1</v>
      </c>
      <c r="K168" s="3">
        <v>2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 x14ac:dyDescent="0.25">
      <c r="A169" s="2" t="s">
        <v>161</v>
      </c>
      <c r="B169" s="3">
        <v>4</v>
      </c>
      <c r="C169" s="3">
        <v>2</v>
      </c>
      <c r="D169" s="3">
        <v>4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x14ac:dyDescent="0.25">
      <c r="A170" s="2" t="s">
        <v>162</v>
      </c>
      <c r="B170" s="3">
        <v>2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3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25">
      <c r="A171" s="2" t="s">
        <v>163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</row>
    <row r="172" spans="1:18" x14ac:dyDescent="0.25">
      <c r="A172" s="2" t="s">
        <v>164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2</v>
      </c>
    </row>
    <row r="173" spans="1:18" x14ac:dyDescent="0.25">
      <c r="A173" s="2" t="s">
        <v>165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2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</row>
    <row r="174" spans="1:18" x14ac:dyDescent="0.25">
      <c r="A174" s="2" t="s">
        <v>166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2</v>
      </c>
    </row>
    <row r="175" spans="1:18" x14ac:dyDescent="0.25">
      <c r="A175" s="2" t="s">
        <v>167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</row>
    <row r="176" spans="1:18" x14ac:dyDescent="0.25">
      <c r="A176" s="2" t="s">
        <v>168</v>
      </c>
      <c r="B176" s="3">
        <v>0</v>
      </c>
      <c r="C176" s="3">
        <v>3</v>
      </c>
      <c r="D176" s="3">
        <v>0</v>
      </c>
      <c r="E176" s="3">
        <v>0</v>
      </c>
      <c r="F176" s="3">
        <v>0</v>
      </c>
      <c r="G176" s="3">
        <v>2</v>
      </c>
      <c r="H176" s="3">
        <v>3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x14ac:dyDescent="0.25">
      <c r="A177" s="2" t="s">
        <v>169</v>
      </c>
      <c r="B177" s="3">
        <v>2</v>
      </c>
      <c r="C177" s="3">
        <v>3</v>
      </c>
      <c r="D177" s="3">
        <v>0</v>
      </c>
      <c r="E177" s="3">
        <v>0</v>
      </c>
      <c r="F177" s="3">
        <v>1</v>
      </c>
      <c r="G177" s="3">
        <v>1</v>
      </c>
      <c r="H177" s="3">
        <v>0</v>
      </c>
      <c r="I177" s="3">
        <v>4</v>
      </c>
      <c r="J177" s="3">
        <v>1</v>
      </c>
      <c r="K177" s="3">
        <v>0</v>
      </c>
      <c r="L177" s="3">
        <v>0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5</v>
      </c>
    </row>
    <row r="178" spans="1:18" x14ac:dyDescent="0.25">
      <c r="A178" s="2" t="s">
        <v>170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x14ac:dyDescent="0.25">
      <c r="A179" s="2" t="s">
        <v>171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 x14ac:dyDescent="0.25">
      <c r="A180" s="2" t="s">
        <v>172</v>
      </c>
      <c r="B180" s="3">
        <v>33</v>
      </c>
      <c r="C180" s="3">
        <v>41</v>
      </c>
      <c r="D180" s="3">
        <v>8</v>
      </c>
      <c r="E180" s="3">
        <v>0</v>
      </c>
      <c r="F180" s="3">
        <v>6</v>
      </c>
      <c r="G180" s="3">
        <v>6</v>
      </c>
      <c r="H180" s="3">
        <v>0</v>
      </c>
      <c r="I180" s="3">
        <v>2</v>
      </c>
      <c r="J180" s="3">
        <v>7</v>
      </c>
      <c r="K180" s="3">
        <v>0</v>
      </c>
      <c r="L180" s="3">
        <v>0</v>
      </c>
      <c r="M180" s="3">
        <v>7</v>
      </c>
      <c r="N180" s="3">
        <v>2</v>
      </c>
      <c r="O180" s="3">
        <v>0</v>
      </c>
      <c r="P180" s="3">
        <v>0</v>
      </c>
      <c r="Q180" s="3">
        <v>3</v>
      </c>
      <c r="R180" s="3">
        <v>6</v>
      </c>
    </row>
    <row r="181" spans="1:18" x14ac:dyDescent="0.25">
      <c r="A181" s="2" t="s">
        <v>173</v>
      </c>
      <c r="B181" s="3">
        <v>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25">
      <c r="A182" s="2" t="s">
        <v>174</v>
      </c>
      <c r="B182" s="3">
        <v>0</v>
      </c>
      <c r="C182" s="3">
        <v>0</v>
      </c>
      <c r="D182" s="3">
        <v>2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2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2</v>
      </c>
    </row>
    <row r="183" spans="1:18" x14ac:dyDescent="0.25">
      <c r="A183" s="2" t="s">
        <v>175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 x14ac:dyDescent="0.25">
      <c r="A184" s="2" t="s">
        <v>176</v>
      </c>
      <c r="B184" s="3">
        <v>2</v>
      </c>
      <c r="C184" s="3">
        <v>2</v>
      </c>
      <c r="D184" s="3">
        <v>3</v>
      </c>
      <c r="E184" s="3">
        <v>0</v>
      </c>
      <c r="F184" s="3">
        <v>0</v>
      </c>
      <c r="G184" s="3">
        <v>0</v>
      </c>
      <c r="H184" s="3">
        <v>3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 x14ac:dyDescent="0.25">
      <c r="A185" s="2" t="s">
        <v>177</v>
      </c>
      <c r="B185" s="3">
        <v>2</v>
      </c>
      <c r="C185" s="3">
        <v>1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 x14ac:dyDescent="0.25">
      <c r="A186" s="2" t="s">
        <v>178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</row>
    <row r="187" spans="1:18" x14ac:dyDescent="0.25">
      <c r="A187" s="2" t="s">
        <v>179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1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</row>
    <row r="188" spans="1:18" x14ac:dyDescent="0.25">
      <c r="A188" s="2" t="s">
        <v>180</v>
      </c>
      <c r="B188" s="3">
        <v>0</v>
      </c>
      <c r="C188" s="3">
        <v>3</v>
      </c>
      <c r="D188" s="3">
        <v>2</v>
      </c>
      <c r="E188" s="3">
        <v>0</v>
      </c>
      <c r="F188" s="3">
        <v>0</v>
      </c>
      <c r="G188" s="3">
        <v>0</v>
      </c>
      <c r="H188" s="3">
        <v>0</v>
      </c>
      <c r="I188" s="3">
        <v>3</v>
      </c>
      <c r="J188" s="3">
        <v>4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</row>
    <row r="189" spans="1:18" x14ac:dyDescent="0.25">
      <c r="A189" s="2" t="s">
        <v>181</v>
      </c>
      <c r="B189" s="3">
        <v>0</v>
      </c>
      <c r="C189" s="3">
        <v>1</v>
      </c>
      <c r="D189" s="3">
        <v>2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2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1</v>
      </c>
    </row>
    <row r="190" spans="1:18" x14ac:dyDescent="0.25">
      <c r="A190" s="2" t="s">
        <v>182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 x14ac:dyDescent="0.25">
      <c r="A191" s="2" t="s">
        <v>183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5">
      <c r="A192" s="2" t="s">
        <v>184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2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 x14ac:dyDescent="0.25">
      <c r="A193" s="2" t="s">
        <v>185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25">
      <c r="A194" s="2" t="s">
        <v>186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 x14ac:dyDescent="0.25">
      <c r="A195" s="2" t="s">
        <v>187</v>
      </c>
      <c r="B195" s="3">
        <v>0</v>
      </c>
      <c r="C195" s="3">
        <v>1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1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 x14ac:dyDescent="0.25">
      <c r="A196" s="2" t="s">
        <v>188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25">
      <c r="A197" s="2" t="s">
        <v>189</v>
      </c>
      <c r="B197" s="3">
        <v>3</v>
      </c>
      <c r="C197" s="3">
        <v>1</v>
      </c>
      <c r="D197" s="3">
        <v>0</v>
      </c>
      <c r="E197" s="3">
        <v>0</v>
      </c>
      <c r="F197" s="3">
        <v>6</v>
      </c>
      <c r="G197" s="3">
        <v>0</v>
      </c>
      <c r="H197" s="3">
        <v>0</v>
      </c>
      <c r="I197" s="3">
        <v>2</v>
      </c>
      <c r="J197" s="3">
        <v>2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 x14ac:dyDescent="0.25">
      <c r="A198" s="2" t="s">
        <v>190</v>
      </c>
      <c r="B198" s="3">
        <v>3</v>
      </c>
      <c r="C198" s="3">
        <v>2</v>
      </c>
      <c r="D198" s="3">
        <v>0</v>
      </c>
      <c r="E198" s="3">
        <v>0</v>
      </c>
      <c r="F198" s="3">
        <v>2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2</v>
      </c>
    </row>
    <row r="199" spans="1:18" x14ac:dyDescent="0.25">
      <c r="A199" s="2" t="s">
        <v>191</v>
      </c>
      <c r="B199" s="3">
        <v>0</v>
      </c>
      <c r="C199" s="3">
        <v>2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1</v>
      </c>
    </row>
    <row r="200" spans="1:18" x14ac:dyDescent="0.25">
      <c r="A200" s="2" t="s">
        <v>192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x14ac:dyDescent="0.25">
      <c r="A201" s="2" t="s">
        <v>193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 x14ac:dyDescent="0.25">
      <c r="A202" s="2" t="s">
        <v>194</v>
      </c>
      <c r="B202" s="3">
        <v>6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1</v>
      </c>
    </row>
    <row r="203" spans="1:18" x14ac:dyDescent="0.25">
      <c r="A203" s="2" t="s">
        <v>195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</row>
    <row r="204" spans="1:18" x14ac:dyDescent="0.25">
      <c r="A204" s="2" t="s">
        <v>196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</row>
    <row r="205" spans="1:18" x14ac:dyDescent="0.25">
      <c r="A205" s="2" t="s">
        <v>197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25">
      <c r="A206" s="2" t="s">
        <v>198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 x14ac:dyDescent="0.25">
      <c r="A207" s="2" t="s">
        <v>199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25">
      <c r="A208" s="2" t="s">
        <v>200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 x14ac:dyDescent="0.25">
      <c r="A209" s="2" t="s">
        <v>201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1</v>
      </c>
      <c r="Q209" s="3">
        <v>0</v>
      </c>
      <c r="R209" s="3">
        <v>0</v>
      </c>
    </row>
    <row r="210" spans="1:18" x14ac:dyDescent="0.25">
      <c r="A210" s="2" t="s">
        <v>202</v>
      </c>
      <c r="B210" s="3">
        <v>0</v>
      </c>
      <c r="C210" s="3">
        <v>2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</row>
    <row r="211" spans="1:18" x14ac:dyDescent="0.25">
      <c r="A211" s="2" t="s">
        <v>203</v>
      </c>
      <c r="B211" s="3">
        <v>0</v>
      </c>
      <c r="C211" s="3">
        <v>6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6</v>
      </c>
      <c r="J211" s="3">
        <v>0</v>
      </c>
      <c r="K211" s="3">
        <v>0</v>
      </c>
      <c r="L211" s="3">
        <v>0</v>
      </c>
      <c r="M211" s="3">
        <v>2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</row>
    <row r="212" spans="1:18" x14ac:dyDescent="0.25">
      <c r="A212" s="2" t="s">
        <v>204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1</v>
      </c>
    </row>
    <row r="213" spans="1:18" x14ac:dyDescent="0.25">
      <c r="A213" s="2" t="s">
        <v>205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2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25">
      <c r="A214" s="2" t="s">
        <v>206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1</v>
      </c>
      <c r="Q214" s="3">
        <v>0</v>
      </c>
      <c r="R214" s="3">
        <v>0</v>
      </c>
    </row>
    <row r="215" spans="1:18" x14ac:dyDescent="0.25">
      <c r="A215" s="2" t="s">
        <v>207</v>
      </c>
      <c r="B215" s="3">
        <v>0</v>
      </c>
      <c r="C215" s="3">
        <v>2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</row>
    <row r="216" spans="1:18" x14ac:dyDescent="0.25">
      <c r="A216" s="2" t="s">
        <v>208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</row>
    <row r="217" spans="1:18" x14ac:dyDescent="0.25">
      <c r="A217" s="2" t="s">
        <v>209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</row>
    <row r="218" spans="1:18" x14ac:dyDescent="0.25">
      <c r="A218" s="2" t="s">
        <v>210</v>
      </c>
      <c r="B218" s="3">
        <v>0</v>
      </c>
      <c r="C218" s="3">
        <v>4</v>
      </c>
      <c r="D218" s="3">
        <v>1</v>
      </c>
      <c r="E218" s="3">
        <v>0</v>
      </c>
      <c r="F218" s="3">
        <v>0</v>
      </c>
      <c r="G218" s="3">
        <v>0</v>
      </c>
      <c r="H218" s="3">
        <v>0</v>
      </c>
      <c r="I218" s="3">
        <v>3</v>
      </c>
      <c r="J218" s="3">
        <v>0</v>
      </c>
      <c r="K218" s="3">
        <v>0</v>
      </c>
      <c r="L218" s="3">
        <v>0</v>
      </c>
      <c r="M218" s="3">
        <v>2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</row>
    <row r="219" spans="1:18" x14ac:dyDescent="0.25">
      <c r="A219" s="2" t="s">
        <v>211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25">
      <c r="A220" s="2" t="s">
        <v>212</v>
      </c>
      <c r="B220" s="3">
        <v>2</v>
      </c>
      <c r="C220" s="3">
        <v>4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1</v>
      </c>
    </row>
    <row r="221" spans="1:18" x14ac:dyDescent="0.25">
      <c r="A221" s="2" t="s">
        <v>213</v>
      </c>
      <c r="B221" s="3">
        <v>0</v>
      </c>
      <c r="C221" s="3">
        <v>6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</row>
    <row r="222" spans="1:18" x14ac:dyDescent="0.25">
      <c r="A222" s="2" t="s">
        <v>214</v>
      </c>
      <c r="B222" s="3">
        <v>1</v>
      </c>
      <c r="C222" s="3">
        <v>1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</row>
    <row r="223" spans="1:18" x14ac:dyDescent="0.25">
      <c r="A223" s="2" t="s">
        <v>215</v>
      </c>
      <c r="B223" s="3">
        <v>3</v>
      </c>
      <c r="C223" s="3">
        <v>8</v>
      </c>
      <c r="D223" s="3">
        <v>3</v>
      </c>
      <c r="E223" s="3">
        <v>0</v>
      </c>
      <c r="F223" s="3">
        <v>7</v>
      </c>
      <c r="G223" s="3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</row>
    <row r="224" spans="1:18" x14ac:dyDescent="0.25">
      <c r="A224" s="2" t="s">
        <v>216</v>
      </c>
      <c r="B224" s="3">
        <v>1</v>
      </c>
      <c r="C224" s="3">
        <v>9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3</v>
      </c>
      <c r="J224" s="3">
        <v>1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 x14ac:dyDescent="0.25">
      <c r="A225" s="2" t="s">
        <v>217</v>
      </c>
      <c r="B225" s="3">
        <v>7</v>
      </c>
      <c r="C225" s="3">
        <v>7</v>
      </c>
      <c r="D225" s="3">
        <v>0</v>
      </c>
      <c r="E225" s="3">
        <v>0</v>
      </c>
      <c r="F225" s="3">
        <v>3</v>
      </c>
      <c r="G225" s="3">
        <v>1</v>
      </c>
      <c r="H225" s="3">
        <v>0</v>
      </c>
      <c r="I225" s="3">
        <v>0</v>
      </c>
      <c r="J225" s="3">
        <v>0</v>
      </c>
      <c r="K225" s="3">
        <v>2</v>
      </c>
      <c r="L225" s="3">
        <v>0</v>
      </c>
      <c r="M225" s="3">
        <v>1</v>
      </c>
      <c r="N225" s="3">
        <v>2</v>
      </c>
      <c r="O225" s="3">
        <v>1</v>
      </c>
      <c r="P225" s="3">
        <v>0</v>
      </c>
      <c r="Q225" s="3">
        <v>0</v>
      </c>
      <c r="R225" s="3">
        <v>0</v>
      </c>
    </row>
    <row r="226" spans="1:18" x14ac:dyDescent="0.25">
      <c r="A226" s="2" t="s">
        <v>218</v>
      </c>
      <c r="B226" s="3">
        <v>0</v>
      </c>
      <c r="C226" s="3">
        <v>0</v>
      </c>
      <c r="D226" s="3">
        <v>2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 x14ac:dyDescent="0.25">
      <c r="A227" s="2" t="s">
        <v>219</v>
      </c>
      <c r="B227" s="3">
        <v>0</v>
      </c>
      <c r="C227" s="3">
        <v>0</v>
      </c>
      <c r="D227" s="3">
        <v>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</row>
    <row r="228" spans="1:18" x14ac:dyDescent="0.25">
      <c r="A228" s="2" t="s">
        <v>220</v>
      </c>
      <c r="B228" s="3">
        <v>2</v>
      </c>
      <c r="C228" s="3">
        <v>3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1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 x14ac:dyDescent="0.25">
      <c r="A229" s="2" t="s">
        <v>221</v>
      </c>
      <c r="B229" s="3">
        <v>0</v>
      </c>
      <c r="C229" s="3">
        <v>3</v>
      </c>
      <c r="D229" s="3">
        <v>2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 x14ac:dyDescent="0.25">
      <c r="A230" s="2" t="s">
        <v>222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</row>
    <row r="231" spans="1:18" x14ac:dyDescent="0.25">
      <c r="A231" s="2" t="s">
        <v>223</v>
      </c>
      <c r="B231" s="3">
        <v>0</v>
      </c>
      <c r="C231" s="3">
        <v>1</v>
      </c>
      <c r="D231" s="3">
        <v>2</v>
      </c>
      <c r="E231" s="3">
        <v>0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 x14ac:dyDescent="0.25">
      <c r="A232" s="2" t="s">
        <v>224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2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1</v>
      </c>
    </row>
    <row r="233" spans="1:18" x14ac:dyDescent="0.25">
      <c r="A233" s="2" t="s">
        <v>225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 x14ac:dyDescent="0.25">
      <c r="A234" s="2" t="s">
        <v>226</v>
      </c>
      <c r="B234" s="3">
        <v>0</v>
      </c>
      <c r="C234" s="3">
        <v>0</v>
      </c>
      <c r="D234" s="3">
        <v>1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 x14ac:dyDescent="0.25">
      <c r="A235" s="2" t="s">
        <v>227</v>
      </c>
      <c r="B235" s="3">
        <v>0</v>
      </c>
      <c r="C235" s="3">
        <v>2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</row>
    <row r="236" spans="1:18" x14ac:dyDescent="0.25">
      <c r="A236" s="2" t="s">
        <v>228</v>
      </c>
      <c r="B236" s="3">
        <v>0</v>
      </c>
      <c r="C236" s="3">
        <v>0</v>
      </c>
      <c r="D236" s="3">
        <v>6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</row>
    <row r="237" spans="1:18" x14ac:dyDescent="0.25">
      <c r="A237" s="2" t="s">
        <v>229</v>
      </c>
      <c r="B237" s="3">
        <v>0</v>
      </c>
      <c r="C237" s="3">
        <v>1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 x14ac:dyDescent="0.25">
      <c r="A238" s="2" t="s">
        <v>230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 x14ac:dyDescent="0.25">
      <c r="A239" s="2" t="s">
        <v>231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</row>
    <row r="240" spans="1:18" x14ac:dyDescent="0.25">
      <c r="A240" s="2" t="s">
        <v>232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</row>
    <row r="241" spans="1:18" x14ac:dyDescent="0.25">
      <c r="A241" s="2" t="s">
        <v>233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 x14ac:dyDescent="0.25">
      <c r="A242" s="2" t="s">
        <v>234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25">
      <c r="A243" s="2" t="s">
        <v>235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2</v>
      </c>
      <c r="R243" s="3">
        <v>0</v>
      </c>
    </row>
    <row r="244" spans="1:18" x14ac:dyDescent="0.25">
      <c r="A244" s="2" t="s">
        <v>236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2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25">
      <c r="A245" s="2" t="s">
        <v>237</v>
      </c>
      <c r="B245" s="3">
        <v>2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25">
      <c r="A246" s="2" t="s">
        <v>238</v>
      </c>
      <c r="B246" s="3">
        <v>3</v>
      </c>
      <c r="C246" s="3">
        <v>2</v>
      </c>
      <c r="D246" s="3">
        <v>2</v>
      </c>
      <c r="E246" s="3">
        <v>0</v>
      </c>
      <c r="F246" s="3">
        <v>1</v>
      </c>
      <c r="G246" s="3">
        <v>0</v>
      </c>
      <c r="H246" s="3">
        <v>0</v>
      </c>
      <c r="I246" s="3">
        <v>0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 x14ac:dyDescent="0.25">
      <c r="A247" s="2" t="s">
        <v>239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 x14ac:dyDescent="0.25">
      <c r="A248" s="2" t="s">
        <v>240</v>
      </c>
      <c r="B248" s="3">
        <v>2</v>
      </c>
      <c r="C248" s="3">
        <v>2</v>
      </c>
      <c r="D248" s="3">
        <v>1</v>
      </c>
      <c r="E248" s="3">
        <v>0</v>
      </c>
      <c r="F248" s="3">
        <v>2</v>
      </c>
      <c r="G248" s="3">
        <v>0</v>
      </c>
      <c r="H248" s="3">
        <v>0</v>
      </c>
      <c r="I248" s="3">
        <v>0</v>
      </c>
      <c r="J248" s="3">
        <v>2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 x14ac:dyDescent="0.25">
      <c r="A249" s="2" t="s">
        <v>241</v>
      </c>
      <c r="B249" s="3">
        <v>3</v>
      </c>
      <c r="C249" s="3">
        <v>4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3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 x14ac:dyDescent="0.25">
      <c r="A250" s="2" t="s">
        <v>242</v>
      </c>
      <c r="B250" s="3">
        <v>30</v>
      </c>
      <c r="C250" s="3">
        <v>50</v>
      </c>
      <c r="D250" s="3">
        <v>11</v>
      </c>
      <c r="E250" s="3">
        <v>0</v>
      </c>
      <c r="F250" s="3">
        <v>6</v>
      </c>
      <c r="G250" s="3">
        <v>10</v>
      </c>
      <c r="H250" s="3">
        <v>3</v>
      </c>
      <c r="I250" s="3">
        <v>6</v>
      </c>
      <c r="J250" s="3">
        <v>19</v>
      </c>
      <c r="K250" s="3">
        <v>3</v>
      </c>
      <c r="L250" s="3">
        <v>0</v>
      </c>
      <c r="M250" s="3">
        <v>3</v>
      </c>
      <c r="N250" s="3">
        <v>2</v>
      </c>
      <c r="O250" s="3">
        <v>0</v>
      </c>
      <c r="P250" s="3">
        <v>0</v>
      </c>
      <c r="Q250" s="3">
        <v>0</v>
      </c>
      <c r="R250" s="3">
        <v>0</v>
      </c>
    </row>
    <row r="251" spans="1:18" x14ac:dyDescent="0.25">
      <c r="A251" s="2" t="s">
        <v>243</v>
      </c>
      <c r="B251" s="3">
        <v>0</v>
      </c>
      <c r="C251" s="3">
        <v>6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</row>
    <row r="252" spans="1:18" x14ac:dyDescent="0.25">
      <c r="A252" s="2" t="s">
        <v>244</v>
      </c>
      <c r="B252" s="3">
        <v>0</v>
      </c>
      <c r="C252" s="3">
        <v>2</v>
      </c>
      <c r="D252" s="3">
        <v>1</v>
      </c>
      <c r="E252" s="3">
        <v>0</v>
      </c>
      <c r="F252" s="3">
        <v>1</v>
      </c>
      <c r="G252" s="3">
        <v>0</v>
      </c>
      <c r="H252" s="3">
        <v>0</v>
      </c>
      <c r="I252" s="3">
        <v>2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</row>
    <row r="253" spans="1:18" x14ac:dyDescent="0.25">
      <c r="A253" s="2" t="s">
        <v>245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</row>
    <row r="254" spans="1:18" x14ac:dyDescent="0.25">
      <c r="A254" s="2" t="s">
        <v>246</v>
      </c>
      <c r="B254" s="3">
        <v>0</v>
      </c>
      <c r="C254" s="3">
        <v>0</v>
      </c>
      <c r="D254" s="3">
        <v>2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</row>
    <row r="255" spans="1:18" x14ac:dyDescent="0.25">
      <c r="A255" s="2" t="s">
        <v>247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 x14ac:dyDescent="0.25">
      <c r="A256" s="2" t="s">
        <v>248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 x14ac:dyDescent="0.25">
      <c r="A257" s="2" t="s">
        <v>249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</row>
    <row r="258" spans="1:18" x14ac:dyDescent="0.25">
      <c r="A258" s="2" t="s">
        <v>250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</row>
    <row r="259" spans="1:18" x14ac:dyDescent="0.25">
      <c r="A259" s="2" t="s">
        <v>251</v>
      </c>
      <c r="B259" s="3">
        <v>0</v>
      </c>
      <c r="C259" s="3">
        <v>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</row>
    <row r="260" spans="1:18" x14ac:dyDescent="0.25">
      <c r="A260" s="2" t="s">
        <v>252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1</v>
      </c>
      <c r="H260" s="3">
        <v>0</v>
      </c>
      <c r="I260" s="3">
        <v>0</v>
      </c>
      <c r="J260" s="3">
        <v>2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 x14ac:dyDescent="0.25">
      <c r="A261" s="2" t="s">
        <v>253</v>
      </c>
      <c r="B261" s="3">
        <v>3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 x14ac:dyDescent="0.25">
      <c r="A262" s="2" t="s">
        <v>254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8" x14ac:dyDescent="0.25">
      <c r="A263" s="2" t="s">
        <v>255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25">
      <c r="A264" s="2" t="s">
        <v>256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x14ac:dyDescent="0.25">
      <c r="A265" s="2" t="s">
        <v>257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 x14ac:dyDescent="0.25">
      <c r="A266" s="2" t="s">
        <v>258</v>
      </c>
      <c r="B266" s="3">
        <v>2</v>
      </c>
      <c r="C266" s="3">
        <v>2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2</v>
      </c>
      <c r="J266" s="3">
        <v>0</v>
      </c>
      <c r="K266" s="3">
        <v>0</v>
      </c>
      <c r="L266" s="3">
        <v>0</v>
      </c>
      <c r="M266" s="3">
        <v>7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 x14ac:dyDescent="0.25">
      <c r="A267" s="2" t="s">
        <v>259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</row>
    <row r="268" spans="1:18" x14ac:dyDescent="0.25">
      <c r="A268" s="2" t="s">
        <v>260</v>
      </c>
      <c r="B268" s="3">
        <v>0</v>
      </c>
      <c r="C268" s="3">
        <v>0</v>
      </c>
      <c r="D268" s="3">
        <v>0</v>
      </c>
      <c r="E268" s="3">
        <v>0</v>
      </c>
      <c r="F268" s="3">
        <v>2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</row>
    <row r="269" spans="1:18" x14ac:dyDescent="0.25">
      <c r="A269" s="2" t="s">
        <v>261</v>
      </c>
      <c r="B269" s="3">
        <v>2</v>
      </c>
      <c r="C269" s="3">
        <v>3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</row>
    <row r="270" spans="1:18" x14ac:dyDescent="0.25">
      <c r="A270" s="2" t="s">
        <v>262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 x14ac:dyDescent="0.25">
      <c r="A271" s="2" t="s">
        <v>263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25">
      <c r="A272" s="2" t="s">
        <v>264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 x14ac:dyDescent="0.25">
      <c r="A273" s="2" t="s">
        <v>265</v>
      </c>
      <c r="B273" s="3">
        <v>0</v>
      </c>
      <c r="C273" s="3">
        <v>0</v>
      </c>
      <c r="D273" s="3">
        <v>0</v>
      </c>
      <c r="E273" s="3">
        <v>0</v>
      </c>
      <c r="F273" s="3">
        <v>3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</row>
    <row r="274" spans="1:18" x14ac:dyDescent="0.25">
      <c r="A274" s="2" t="s">
        <v>266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</row>
    <row r="275" spans="1:18" x14ac:dyDescent="0.25">
      <c r="A275" s="2" t="s">
        <v>267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 x14ac:dyDescent="0.25">
      <c r="A276" s="2" t="s">
        <v>268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 x14ac:dyDescent="0.25">
      <c r="A277" s="2" t="s">
        <v>269</v>
      </c>
      <c r="B277" s="3">
        <v>0</v>
      </c>
      <c r="C277" s="3">
        <v>3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</row>
    <row r="278" spans="1:18" x14ac:dyDescent="0.25">
      <c r="A278" s="2" t="s">
        <v>270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25">
      <c r="A279" s="2" t="s">
        <v>271</v>
      </c>
      <c r="B279" s="3">
        <v>0</v>
      </c>
      <c r="C279" s="3">
        <v>3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1</v>
      </c>
      <c r="K279" s="3">
        <v>0</v>
      </c>
      <c r="L279" s="3">
        <v>0</v>
      </c>
      <c r="M279" s="3">
        <v>2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25">
      <c r="A280" s="2" t="s">
        <v>272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3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 x14ac:dyDescent="0.25">
      <c r="A281" s="2" t="s">
        <v>273</v>
      </c>
      <c r="B281" s="3">
        <v>0</v>
      </c>
      <c r="C281" s="3">
        <v>0</v>
      </c>
      <c r="D281" s="3">
        <v>2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 x14ac:dyDescent="0.25">
      <c r="A282" s="2" t="s">
        <v>274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</row>
    <row r="283" spans="1:18" x14ac:dyDescent="0.25">
      <c r="A283" s="2" t="s">
        <v>275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x14ac:dyDescent="0.25">
      <c r="A284" s="2" t="s">
        <v>276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 x14ac:dyDescent="0.25">
      <c r="A285" s="2" t="s">
        <v>277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 x14ac:dyDescent="0.25">
      <c r="A286" s="2" t="s">
        <v>278</v>
      </c>
      <c r="B286" s="3">
        <v>6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 x14ac:dyDescent="0.25">
      <c r="A287" s="2" t="s">
        <v>279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 x14ac:dyDescent="0.25">
      <c r="A288" s="2" t="s">
        <v>280</v>
      </c>
      <c r="B288" s="3">
        <v>2</v>
      </c>
      <c r="C288" s="3">
        <v>25</v>
      </c>
      <c r="D288" s="3">
        <v>4</v>
      </c>
      <c r="E288" s="3">
        <v>0</v>
      </c>
      <c r="F288" s="3">
        <v>0</v>
      </c>
      <c r="G288" s="3">
        <v>4</v>
      </c>
      <c r="H288" s="3">
        <v>0</v>
      </c>
      <c r="I288" s="3">
        <v>5</v>
      </c>
      <c r="J288" s="3">
        <v>4</v>
      </c>
      <c r="K288" s="3">
        <v>1</v>
      </c>
      <c r="L288" s="3">
        <v>0</v>
      </c>
      <c r="M288" s="3">
        <v>0</v>
      </c>
      <c r="N288" s="3">
        <v>0</v>
      </c>
      <c r="O288" s="3">
        <v>0</v>
      </c>
      <c r="P288" s="3">
        <v>3</v>
      </c>
      <c r="Q288" s="3">
        <v>0</v>
      </c>
      <c r="R288" s="3">
        <v>0</v>
      </c>
    </row>
    <row r="289" spans="1:18" x14ac:dyDescent="0.25">
      <c r="A289" s="2" t="s">
        <v>281</v>
      </c>
      <c r="B289" s="3">
        <v>1</v>
      </c>
      <c r="C289" s="3">
        <v>3</v>
      </c>
      <c r="D289" s="3">
        <v>1</v>
      </c>
      <c r="E289" s="3">
        <v>0</v>
      </c>
      <c r="F289" s="3">
        <v>3</v>
      </c>
      <c r="G289" s="3">
        <v>0</v>
      </c>
      <c r="H289" s="3">
        <v>0</v>
      </c>
      <c r="I289" s="3">
        <v>0</v>
      </c>
      <c r="J289" s="3">
        <v>1</v>
      </c>
      <c r="K289" s="3">
        <v>2</v>
      </c>
      <c r="L289" s="3">
        <v>0</v>
      </c>
      <c r="M289" s="3">
        <v>1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 x14ac:dyDescent="0.25">
      <c r="A290" s="2" t="s">
        <v>282</v>
      </c>
      <c r="B290" s="3">
        <v>0</v>
      </c>
      <c r="C290" s="3">
        <v>0</v>
      </c>
      <c r="D290" s="3">
        <v>2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</row>
    <row r="291" spans="1:18" x14ac:dyDescent="0.25">
      <c r="A291" s="2" t="s">
        <v>283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1</v>
      </c>
      <c r="H291" s="3">
        <v>0</v>
      </c>
      <c r="I291" s="3">
        <v>0</v>
      </c>
      <c r="J291" s="3">
        <v>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</row>
    <row r="292" spans="1:18" x14ac:dyDescent="0.25">
      <c r="A292" s="2" t="s">
        <v>284</v>
      </c>
      <c r="B292" s="3">
        <v>1</v>
      </c>
      <c r="C292" s="3">
        <v>0</v>
      </c>
      <c r="D292" s="3">
        <v>4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</row>
    <row r="293" spans="1:18" x14ac:dyDescent="0.25">
      <c r="A293" s="2" t="s">
        <v>285</v>
      </c>
      <c r="B293" s="3">
        <v>0</v>
      </c>
      <c r="C293" s="3">
        <v>0</v>
      </c>
      <c r="D293" s="3">
        <v>0</v>
      </c>
      <c r="E293" s="3">
        <v>0</v>
      </c>
      <c r="F293" s="3">
        <v>4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</row>
    <row r="294" spans="1:18" x14ac:dyDescent="0.25">
      <c r="A294" s="2" t="s">
        <v>286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</row>
    <row r="295" spans="1:18" x14ac:dyDescent="0.25">
      <c r="A295" s="2" t="s">
        <v>287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</row>
    <row r="296" spans="1:18" x14ac:dyDescent="0.25">
      <c r="A296" s="2" t="s">
        <v>288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</row>
    <row r="297" spans="1:18" x14ac:dyDescent="0.25">
      <c r="A297" s="2" t="s">
        <v>289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</row>
    <row r="298" spans="1:18" x14ac:dyDescent="0.25">
      <c r="A298" s="2" t="s">
        <v>290</v>
      </c>
      <c r="B298" s="3">
        <v>3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3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 x14ac:dyDescent="0.25">
      <c r="A299" s="2" t="s">
        <v>291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</row>
    <row r="300" spans="1:18" x14ac:dyDescent="0.25">
      <c r="A300" s="2" t="s">
        <v>292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 x14ac:dyDescent="0.25">
      <c r="A301" s="2" t="s">
        <v>293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25">
      <c r="A302" s="2" t="s">
        <v>294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3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</row>
    <row r="303" spans="1:18" x14ac:dyDescent="0.25">
      <c r="A303" s="2" t="s">
        <v>295</v>
      </c>
      <c r="B303" s="3">
        <v>0</v>
      </c>
      <c r="C303" s="3">
        <v>0</v>
      </c>
      <c r="D303" s="3">
        <v>2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 x14ac:dyDescent="0.25">
      <c r="A304" s="2" t="s">
        <v>296</v>
      </c>
      <c r="B304" s="3">
        <v>0</v>
      </c>
      <c r="C304" s="3">
        <v>2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2</v>
      </c>
      <c r="J304" s="3">
        <v>2</v>
      </c>
      <c r="K304" s="3">
        <v>0</v>
      </c>
      <c r="L304" s="3">
        <v>0</v>
      </c>
      <c r="M304" s="3">
        <v>2</v>
      </c>
      <c r="N304" s="3">
        <v>1</v>
      </c>
      <c r="O304" s="3">
        <v>0</v>
      </c>
      <c r="P304" s="3">
        <v>0</v>
      </c>
      <c r="Q304" s="3">
        <v>0</v>
      </c>
      <c r="R304" s="3">
        <v>0</v>
      </c>
    </row>
    <row r="305" spans="1:18" x14ac:dyDescent="0.25">
      <c r="A305" s="2" t="s">
        <v>297</v>
      </c>
      <c r="B305" s="3">
        <v>0</v>
      </c>
      <c r="C305" s="3">
        <v>0</v>
      </c>
      <c r="D305" s="3">
        <v>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 x14ac:dyDescent="0.25">
      <c r="A306" s="2" t="s">
        <v>298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25">
      <c r="A307" s="2" t="s">
        <v>299</v>
      </c>
      <c r="B307" s="3">
        <v>0</v>
      </c>
      <c r="C307" s="3">
        <v>1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 x14ac:dyDescent="0.25">
      <c r="A308" s="2" t="s">
        <v>300</v>
      </c>
      <c r="B308" s="3">
        <v>0</v>
      </c>
      <c r="C308" s="3">
        <v>0</v>
      </c>
      <c r="D308" s="3">
        <v>0</v>
      </c>
      <c r="E308" s="3">
        <v>0</v>
      </c>
      <c r="F308" s="3">
        <v>1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 x14ac:dyDescent="0.25">
      <c r="A309" s="2" t="s">
        <v>301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</row>
    <row r="310" spans="1:18" x14ac:dyDescent="0.25">
      <c r="A310" s="2" t="s">
        <v>302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 x14ac:dyDescent="0.25">
      <c r="A311" s="2" t="s">
        <v>303</v>
      </c>
      <c r="B311" s="3">
        <v>0</v>
      </c>
      <c r="C311" s="3">
        <v>0</v>
      </c>
      <c r="D311" s="3">
        <v>2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</row>
    <row r="312" spans="1:18" x14ac:dyDescent="0.25">
      <c r="A312" s="2" t="s">
        <v>304</v>
      </c>
      <c r="B312" s="3">
        <v>0</v>
      </c>
      <c r="C312" s="3">
        <v>2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25">
      <c r="A313" s="2" t="s">
        <v>305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 x14ac:dyDescent="0.25">
      <c r="A314" s="2" t="s">
        <v>306</v>
      </c>
      <c r="B314" s="3">
        <v>0</v>
      </c>
      <c r="C314" s="3">
        <v>2</v>
      </c>
      <c r="D314" s="3">
        <v>1</v>
      </c>
      <c r="E314" s="3">
        <v>0</v>
      </c>
      <c r="F314" s="3">
        <v>0</v>
      </c>
      <c r="G314" s="3">
        <v>0</v>
      </c>
      <c r="H314" s="3">
        <v>0</v>
      </c>
      <c r="I314" s="3">
        <v>1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 x14ac:dyDescent="0.25">
      <c r="A315" s="2" t="s">
        <v>307</v>
      </c>
      <c r="B315" s="3">
        <v>0</v>
      </c>
      <c r="C315" s="3">
        <v>3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25">
      <c r="A316" s="2" t="s">
        <v>308</v>
      </c>
      <c r="B316" s="3">
        <v>0</v>
      </c>
      <c r="C316" s="3">
        <v>2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 x14ac:dyDescent="0.25">
      <c r="A317" s="2" t="s">
        <v>309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</row>
    <row r="318" spans="1:18" x14ac:dyDescent="0.25">
      <c r="A318" s="2" t="s">
        <v>310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25">
      <c r="A319" s="2" t="s">
        <v>311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 x14ac:dyDescent="0.25">
      <c r="A320" s="2" t="s">
        <v>312</v>
      </c>
      <c r="B320" s="3">
        <v>0</v>
      </c>
      <c r="C320" s="3">
        <v>5</v>
      </c>
      <c r="D320" s="3">
        <v>0</v>
      </c>
      <c r="E320" s="3">
        <v>0</v>
      </c>
      <c r="F320" s="3">
        <v>0</v>
      </c>
      <c r="G320" s="3">
        <v>2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 x14ac:dyDescent="0.25">
      <c r="A321" s="2" t="s">
        <v>313</v>
      </c>
      <c r="B321" s="3">
        <v>1</v>
      </c>
      <c r="C321" s="3">
        <v>4</v>
      </c>
      <c r="D321" s="3">
        <v>1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 x14ac:dyDescent="0.25">
      <c r="A322" s="2" t="s">
        <v>314</v>
      </c>
      <c r="B322" s="3">
        <v>2</v>
      </c>
      <c r="C322" s="3">
        <v>2</v>
      </c>
      <c r="D322" s="3">
        <v>0</v>
      </c>
      <c r="E322" s="3">
        <v>0</v>
      </c>
      <c r="F322" s="3">
        <v>2</v>
      </c>
      <c r="G322" s="3">
        <v>0</v>
      </c>
      <c r="H322" s="3">
        <v>0</v>
      </c>
      <c r="I322" s="3">
        <v>4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</row>
    <row r="323" spans="1:18" x14ac:dyDescent="0.25">
      <c r="A323" s="2" t="s">
        <v>315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 x14ac:dyDescent="0.25">
      <c r="A324" s="2" t="s">
        <v>316</v>
      </c>
      <c r="B324" s="3">
        <v>0</v>
      </c>
      <c r="C324" s="3">
        <v>3</v>
      </c>
      <c r="D324" s="3">
        <v>2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</row>
    <row r="325" spans="1:18" x14ac:dyDescent="0.25">
      <c r="A325" s="2" t="s">
        <v>317</v>
      </c>
      <c r="B325" s="3">
        <v>0</v>
      </c>
      <c r="C325" s="3">
        <v>0</v>
      </c>
      <c r="D325" s="3">
        <v>0</v>
      </c>
      <c r="E325" s="3">
        <v>3</v>
      </c>
      <c r="F325" s="3">
        <v>2</v>
      </c>
      <c r="G325" s="3">
        <v>0</v>
      </c>
      <c r="H325" s="3">
        <v>0</v>
      </c>
      <c r="I325" s="3">
        <v>2</v>
      </c>
      <c r="J325" s="3">
        <v>1</v>
      </c>
      <c r="K325" s="3">
        <v>0</v>
      </c>
      <c r="L325" s="3">
        <v>0</v>
      </c>
      <c r="M325" s="3">
        <v>0</v>
      </c>
      <c r="N325" s="3">
        <v>2</v>
      </c>
      <c r="O325" s="3">
        <v>0</v>
      </c>
      <c r="P325" s="3">
        <v>0</v>
      </c>
      <c r="Q325" s="3">
        <v>0</v>
      </c>
      <c r="R325" s="3">
        <v>0</v>
      </c>
    </row>
    <row r="326" spans="1:18" x14ac:dyDescent="0.25">
      <c r="A326" s="2" t="s">
        <v>318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</row>
    <row r="327" spans="1:18" x14ac:dyDescent="0.25">
      <c r="A327" s="2" t="s">
        <v>319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 x14ac:dyDescent="0.25">
      <c r="A328" s="2" t="s">
        <v>320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25">
      <c r="A329" s="2" t="s">
        <v>321</v>
      </c>
      <c r="B329" s="3">
        <v>7</v>
      </c>
      <c r="C329" s="3">
        <v>12</v>
      </c>
      <c r="D329" s="3">
        <v>0</v>
      </c>
      <c r="E329" s="3">
        <v>0</v>
      </c>
      <c r="F329" s="3">
        <v>2</v>
      </c>
      <c r="G329" s="3">
        <v>4</v>
      </c>
      <c r="H329" s="3">
        <v>0</v>
      </c>
      <c r="I329" s="3">
        <v>0</v>
      </c>
      <c r="J329" s="3">
        <v>2</v>
      </c>
      <c r="K329" s="3">
        <v>1</v>
      </c>
      <c r="L329" s="3">
        <v>0</v>
      </c>
      <c r="M329" s="3">
        <v>2</v>
      </c>
      <c r="N329" s="3">
        <v>0</v>
      </c>
      <c r="O329" s="3">
        <v>0</v>
      </c>
      <c r="P329" s="3">
        <v>0</v>
      </c>
      <c r="Q329" s="3">
        <v>0</v>
      </c>
      <c r="R329" s="3">
        <v>2</v>
      </c>
    </row>
    <row r="330" spans="1:18" x14ac:dyDescent="0.25">
      <c r="A330" s="2" t="s">
        <v>322</v>
      </c>
      <c r="B330" s="3">
        <v>0</v>
      </c>
      <c r="C330" s="3">
        <v>6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2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 x14ac:dyDescent="0.25">
      <c r="A331" s="2" t="s">
        <v>323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25">
      <c r="A332" s="2" t="s">
        <v>324</v>
      </c>
      <c r="B332" s="3">
        <v>3</v>
      </c>
      <c r="C332" s="3">
        <v>3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 x14ac:dyDescent="0.25">
      <c r="A333" s="2" t="s">
        <v>325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1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 x14ac:dyDescent="0.25">
      <c r="A334" s="2" t="s">
        <v>326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 x14ac:dyDescent="0.25">
      <c r="A335" s="2" t="s">
        <v>327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 x14ac:dyDescent="0.25">
      <c r="A336" s="2" t="s">
        <v>328</v>
      </c>
      <c r="B336" s="3">
        <v>2</v>
      </c>
      <c r="C336" s="3">
        <v>2</v>
      </c>
      <c r="D336" s="3">
        <v>0</v>
      </c>
      <c r="E336" s="3">
        <v>0</v>
      </c>
      <c r="F336" s="3">
        <v>1</v>
      </c>
      <c r="G336" s="3">
        <v>3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</row>
    <row r="337" spans="1:18" x14ac:dyDescent="0.25">
      <c r="A337" s="2" t="s">
        <v>329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 x14ac:dyDescent="0.25">
      <c r="A338" s="2" t="s">
        <v>330</v>
      </c>
      <c r="B338" s="3">
        <v>2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1</v>
      </c>
      <c r="N338" s="3">
        <v>1</v>
      </c>
      <c r="O338" s="3">
        <v>0</v>
      </c>
      <c r="P338" s="3">
        <v>0</v>
      </c>
      <c r="Q338" s="3">
        <v>0</v>
      </c>
      <c r="R338" s="3">
        <v>0</v>
      </c>
    </row>
    <row r="339" spans="1:18" x14ac:dyDescent="0.25">
      <c r="A339" s="2" t="s">
        <v>331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x14ac:dyDescent="0.25">
      <c r="A340" s="2" t="s">
        <v>332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 x14ac:dyDescent="0.25">
      <c r="A341" s="2" t="s">
        <v>333</v>
      </c>
      <c r="B341" s="3">
        <v>1</v>
      </c>
      <c r="C341" s="3">
        <v>3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</row>
    <row r="342" spans="1:18" x14ac:dyDescent="0.25">
      <c r="A342" s="2" t="s">
        <v>334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</row>
    <row r="343" spans="1:18" x14ac:dyDescent="0.25">
      <c r="A343" s="2" t="s">
        <v>335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 x14ac:dyDescent="0.25">
      <c r="A344" s="2" t="s">
        <v>336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 x14ac:dyDescent="0.25">
      <c r="A345" s="2" t="s">
        <v>337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</row>
    <row r="346" spans="1:18" x14ac:dyDescent="0.25">
      <c r="A346" s="2" t="s">
        <v>338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 x14ac:dyDescent="0.25">
      <c r="A347" s="2" t="s">
        <v>339</v>
      </c>
      <c r="B347" s="3">
        <v>0</v>
      </c>
      <c r="C347" s="3">
        <v>2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</row>
    <row r="348" spans="1:18" x14ac:dyDescent="0.25">
      <c r="A348" s="2" t="s">
        <v>340</v>
      </c>
      <c r="B348" s="3">
        <v>0</v>
      </c>
      <c r="C348" s="3">
        <v>5</v>
      </c>
      <c r="D348" s="3">
        <v>0</v>
      </c>
      <c r="E348" s="3">
        <v>0</v>
      </c>
      <c r="F348" s="3">
        <v>0</v>
      </c>
      <c r="G348" s="3">
        <v>1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1</v>
      </c>
      <c r="O348" s="3">
        <v>0</v>
      </c>
      <c r="P348" s="3">
        <v>0</v>
      </c>
      <c r="Q348" s="3">
        <v>0</v>
      </c>
      <c r="R348" s="3">
        <v>0</v>
      </c>
    </row>
    <row r="349" spans="1:18" x14ac:dyDescent="0.25">
      <c r="A349" s="2" t="s">
        <v>341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 x14ac:dyDescent="0.25">
      <c r="A350" s="2" t="s">
        <v>342</v>
      </c>
      <c r="B350" s="3">
        <v>4</v>
      </c>
      <c r="C350" s="3">
        <v>4</v>
      </c>
      <c r="D350" s="3">
        <v>3</v>
      </c>
      <c r="E350" s="3">
        <v>0</v>
      </c>
      <c r="F350" s="3">
        <v>0</v>
      </c>
      <c r="G350" s="3">
        <v>3</v>
      </c>
      <c r="H350" s="3">
        <v>5</v>
      </c>
      <c r="I350" s="3">
        <v>0</v>
      </c>
      <c r="J350" s="3">
        <v>0</v>
      </c>
      <c r="K350" s="3">
        <v>1</v>
      </c>
      <c r="L350" s="3">
        <v>0</v>
      </c>
      <c r="M350" s="3">
        <v>0</v>
      </c>
      <c r="N350" s="3">
        <v>2</v>
      </c>
      <c r="O350" s="3">
        <v>0</v>
      </c>
      <c r="P350" s="3">
        <v>0</v>
      </c>
      <c r="Q350" s="3">
        <v>0</v>
      </c>
      <c r="R350" s="3">
        <v>0</v>
      </c>
    </row>
    <row r="351" spans="1:18" x14ac:dyDescent="0.25">
      <c r="A351" s="2" t="s">
        <v>343</v>
      </c>
      <c r="B351" s="3">
        <v>2</v>
      </c>
      <c r="C351" s="3">
        <v>3</v>
      </c>
      <c r="D351" s="3">
        <v>0</v>
      </c>
      <c r="E351" s="3">
        <v>2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 x14ac:dyDescent="0.25">
      <c r="A352" s="2" t="s">
        <v>344</v>
      </c>
      <c r="B352" s="3">
        <v>2</v>
      </c>
      <c r="C352" s="3">
        <v>3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1</v>
      </c>
      <c r="J352" s="3">
        <v>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2</v>
      </c>
    </row>
    <row r="353" spans="1:18" x14ac:dyDescent="0.25">
      <c r="A353" s="2" t="s">
        <v>345</v>
      </c>
      <c r="B353" s="3">
        <v>0</v>
      </c>
      <c r="C353" s="3">
        <v>0</v>
      </c>
      <c r="D353" s="3">
        <v>2</v>
      </c>
      <c r="E353" s="3">
        <v>0</v>
      </c>
      <c r="F353" s="3">
        <v>2</v>
      </c>
      <c r="G353" s="3">
        <v>0</v>
      </c>
      <c r="H353" s="3">
        <v>0</v>
      </c>
      <c r="I353" s="3">
        <v>0</v>
      </c>
      <c r="J353" s="3">
        <v>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</row>
    <row r="354" spans="1:18" x14ac:dyDescent="0.25">
      <c r="A354" s="2" t="s">
        <v>346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</row>
    <row r="355" spans="1:18" x14ac:dyDescent="0.25">
      <c r="A355" s="2" t="s">
        <v>347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2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</row>
    <row r="356" spans="1:18" x14ac:dyDescent="0.25">
      <c r="A356" s="2" t="s">
        <v>348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 x14ac:dyDescent="0.25">
      <c r="A357" s="2" t="s">
        <v>349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25">
      <c r="A358" s="2" t="s">
        <v>350</v>
      </c>
      <c r="B358" s="3">
        <v>0</v>
      </c>
      <c r="C358" s="3">
        <v>1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25">
      <c r="A359" s="2" t="s">
        <v>351</v>
      </c>
      <c r="B359" s="3">
        <v>1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1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25">
      <c r="A360" s="2" t="s">
        <v>352</v>
      </c>
      <c r="B360" s="3">
        <v>0</v>
      </c>
      <c r="C360" s="3">
        <v>0</v>
      </c>
      <c r="D360" s="3">
        <v>0</v>
      </c>
      <c r="E360" s="3">
        <v>0</v>
      </c>
      <c r="F360" s="3">
        <v>2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</row>
    <row r="361" spans="1:18" x14ac:dyDescent="0.25">
      <c r="A361" s="2" t="s">
        <v>353</v>
      </c>
      <c r="B361" s="3">
        <v>0</v>
      </c>
      <c r="C361" s="3">
        <v>1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</row>
    <row r="362" spans="1:18" x14ac:dyDescent="0.25">
      <c r="A362" s="2" t="s">
        <v>354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</row>
    <row r="363" spans="1:18" x14ac:dyDescent="0.25">
      <c r="A363" s="2" t="s">
        <v>355</v>
      </c>
      <c r="B363" s="3">
        <v>0</v>
      </c>
      <c r="C363" s="3">
        <v>4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</row>
    <row r="364" spans="1:18" x14ac:dyDescent="0.25">
      <c r="A364" s="2" t="s">
        <v>356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</row>
    <row r="365" spans="1:18" x14ac:dyDescent="0.25">
      <c r="A365" s="2" t="s">
        <v>357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25">
      <c r="A366" s="2" t="s">
        <v>358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 x14ac:dyDescent="0.25">
      <c r="A367" s="2" t="s">
        <v>359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 x14ac:dyDescent="0.25">
      <c r="A368" s="2" t="s">
        <v>360</v>
      </c>
      <c r="B368" s="4" t="s">
        <v>361</v>
      </c>
      <c r="C368" s="4" t="s">
        <v>361</v>
      </c>
      <c r="D368" s="4" t="s">
        <v>361</v>
      </c>
      <c r="E368" s="4" t="s">
        <v>361</v>
      </c>
      <c r="F368" s="4" t="s">
        <v>361</v>
      </c>
      <c r="G368" s="4" t="s">
        <v>361</v>
      </c>
      <c r="H368" s="4" t="s">
        <v>361</v>
      </c>
      <c r="I368" s="4" t="s">
        <v>361</v>
      </c>
      <c r="J368" s="4" t="s">
        <v>361</v>
      </c>
      <c r="K368" s="4" t="s">
        <v>361</v>
      </c>
      <c r="L368" s="4" t="s">
        <v>361</v>
      </c>
      <c r="M368" s="4" t="s">
        <v>361</v>
      </c>
      <c r="N368" s="4" t="s">
        <v>361</v>
      </c>
      <c r="O368" s="4" t="s">
        <v>361</v>
      </c>
      <c r="P368" s="4" t="s">
        <v>361</v>
      </c>
      <c r="Q368" s="4" t="s">
        <v>361</v>
      </c>
      <c r="R368" s="4" t="s">
        <v>361</v>
      </c>
    </row>
    <row r="370" spans="1:2" x14ac:dyDescent="0.25">
      <c r="A370" t="s">
        <v>362</v>
      </c>
    </row>
    <row r="371" spans="1:2" x14ac:dyDescent="0.25">
      <c r="A371" t="s">
        <v>363</v>
      </c>
    </row>
    <row r="372" spans="1:2" x14ac:dyDescent="0.25">
      <c r="A372" t="s">
        <v>364</v>
      </c>
    </row>
    <row r="373" spans="1:2" x14ac:dyDescent="0.25">
      <c r="A373" t="s">
        <v>365</v>
      </c>
    </row>
    <row r="374" spans="1:2" x14ac:dyDescent="0.25">
      <c r="A374" t="s">
        <v>366</v>
      </c>
    </row>
    <row r="375" spans="1:2" x14ac:dyDescent="0.25">
      <c r="A375" t="s">
        <v>367</v>
      </c>
    </row>
    <row r="378" spans="1:2" x14ac:dyDescent="0.25">
      <c r="A378" t="s">
        <v>368</v>
      </c>
      <c r="B378" t="s">
        <v>369</v>
      </c>
    </row>
    <row r="379" spans="1:2" x14ac:dyDescent="0.25">
      <c r="A379" t="s">
        <v>370</v>
      </c>
      <c r="B379" t="s">
        <v>371</v>
      </c>
    </row>
    <row r="380" spans="1:2" x14ac:dyDescent="0.25">
      <c r="A380" t="s">
        <v>372</v>
      </c>
      <c r="B380" t="s">
        <v>373</v>
      </c>
    </row>
    <row r="381" spans="1:2" x14ac:dyDescent="0.25">
      <c r="A381" t="s">
        <v>374</v>
      </c>
    </row>
    <row r="382" spans="1:2" x14ac:dyDescent="0.25">
      <c r="A382" t="s">
        <v>375</v>
      </c>
      <c r="B382" t="s">
        <v>376</v>
      </c>
    </row>
    <row r="383" spans="1:2" x14ac:dyDescent="0.25">
      <c r="A383" t="s">
        <v>377</v>
      </c>
      <c r="B383" t="s">
        <v>378</v>
      </c>
    </row>
    <row r="384" spans="1:2" x14ac:dyDescent="0.25">
      <c r="A384" t="s">
        <v>379</v>
      </c>
      <c r="B384" t="s">
        <v>380</v>
      </c>
    </row>
    <row r="385" spans="1:2" x14ac:dyDescent="0.25">
      <c r="A385" t="s">
        <v>381</v>
      </c>
      <c r="B385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CD4C-78B0-4C0B-A8A2-1F0AF6939234}">
  <dimension ref="C1:Z17"/>
  <sheetViews>
    <sheetView tabSelected="1" workbookViewId="0">
      <selection activeCell="N20" sqref="N20"/>
    </sheetView>
  </sheetViews>
  <sheetFormatPr baseColWidth="10" defaultRowHeight="15" x14ac:dyDescent="0.25"/>
  <cols>
    <col min="3" max="3" width="16.28515625" customWidth="1"/>
    <col min="4" max="4" width="40.28515625" bestFit="1" customWidth="1"/>
    <col min="24" max="24" width="13" bestFit="1" customWidth="1"/>
  </cols>
  <sheetData>
    <row r="1" spans="3:26" x14ac:dyDescent="0.25">
      <c r="C1" s="2"/>
      <c r="E1" s="2" t="s">
        <v>390</v>
      </c>
      <c r="F1" s="2" t="s">
        <v>391</v>
      </c>
      <c r="G1" s="2" t="s">
        <v>392</v>
      </c>
      <c r="H1" s="2" t="s">
        <v>393</v>
      </c>
      <c r="I1" s="2" t="s">
        <v>394</v>
      </c>
      <c r="J1" s="2" t="s">
        <v>395</v>
      </c>
      <c r="K1" s="2" t="s">
        <v>396</v>
      </c>
      <c r="L1" s="2" t="s">
        <v>397</v>
      </c>
      <c r="M1" s="2" t="s">
        <v>398</v>
      </c>
      <c r="N1" s="2" t="s">
        <v>399</v>
      </c>
      <c r="O1" s="2" t="s">
        <v>400</v>
      </c>
      <c r="P1" s="2" t="s">
        <v>401</v>
      </c>
      <c r="Q1" s="2" t="s">
        <v>402</v>
      </c>
      <c r="R1" s="2" t="s">
        <v>403</v>
      </c>
      <c r="S1" s="2" t="s">
        <v>404</v>
      </c>
      <c r="T1" s="2" t="s">
        <v>405</v>
      </c>
      <c r="U1" s="2" t="s">
        <v>406</v>
      </c>
      <c r="V1" s="2"/>
      <c r="W1" s="2"/>
      <c r="Y1" s="2" t="s">
        <v>407</v>
      </c>
    </row>
    <row r="2" spans="3:26" x14ac:dyDescent="0.25">
      <c r="C2" s="2" t="s">
        <v>415</v>
      </c>
      <c r="D2" t="s">
        <v>383</v>
      </c>
      <c r="E2" s="10">
        <v>1886</v>
      </c>
      <c r="F2" s="10">
        <v>2218</v>
      </c>
      <c r="G2" s="10">
        <v>476</v>
      </c>
      <c r="H2" s="10">
        <v>106</v>
      </c>
      <c r="I2" s="10">
        <v>609</v>
      </c>
      <c r="J2" s="10">
        <v>355</v>
      </c>
      <c r="K2" s="10">
        <v>151</v>
      </c>
      <c r="L2" s="10">
        <v>259</v>
      </c>
      <c r="M2" s="10">
        <v>589</v>
      </c>
      <c r="N2" s="10">
        <v>117</v>
      </c>
      <c r="O2" s="10">
        <v>93</v>
      </c>
      <c r="P2" s="10">
        <v>213</v>
      </c>
      <c r="Q2" s="10">
        <v>106</v>
      </c>
      <c r="R2" s="10">
        <v>71</v>
      </c>
      <c r="S2" s="10">
        <v>68</v>
      </c>
      <c r="T2" s="10">
        <v>86</v>
      </c>
      <c r="U2" s="10">
        <v>149</v>
      </c>
      <c r="V2" s="10"/>
      <c r="W2" s="10"/>
      <c r="X2" s="10"/>
      <c r="Y2" s="10">
        <f>SUM(E2:U2)</f>
        <v>7552</v>
      </c>
      <c r="Z2" s="10" t="s">
        <v>408</v>
      </c>
    </row>
    <row r="3" spans="3:26" x14ac:dyDescent="0.25">
      <c r="C3" s="2" t="s">
        <v>416</v>
      </c>
      <c r="D3" t="s">
        <v>384</v>
      </c>
      <c r="E3" s="10">
        <v>895</v>
      </c>
      <c r="F3" s="10">
        <v>1161</v>
      </c>
      <c r="G3" s="10">
        <v>324</v>
      </c>
      <c r="H3" s="10">
        <v>41</v>
      </c>
      <c r="I3" s="10">
        <v>263</v>
      </c>
      <c r="J3" s="10">
        <v>250</v>
      </c>
      <c r="K3" s="10">
        <v>72</v>
      </c>
      <c r="L3" s="10">
        <v>111</v>
      </c>
      <c r="M3" s="10">
        <v>356</v>
      </c>
      <c r="N3" s="10">
        <v>66</v>
      </c>
      <c r="O3" s="10">
        <v>45</v>
      </c>
      <c r="P3" s="10">
        <v>140</v>
      </c>
      <c r="Q3" s="10">
        <v>54</v>
      </c>
      <c r="R3" s="10">
        <v>53</v>
      </c>
      <c r="S3" s="10">
        <v>43</v>
      </c>
      <c r="T3" s="10">
        <v>53</v>
      </c>
      <c r="U3" s="10">
        <v>96</v>
      </c>
      <c r="V3" s="10"/>
      <c r="W3" s="10"/>
      <c r="X3" s="10"/>
      <c r="Y3" s="10">
        <f>SUM(E3:U3)</f>
        <v>4023</v>
      </c>
      <c r="Z3" s="10"/>
    </row>
    <row r="4" spans="3:26" x14ac:dyDescent="0.25">
      <c r="C4" s="2" t="s">
        <v>417</v>
      </c>
      <c r="D4" t="s">
        <v>385</v>
      </c>
      <c r="E4" s="10">
        <v>991</v>
      </c>
      <c r="F4" s="10">
        <v>1057</v>
      </c>
      <c r="G4" s="10">
        <v>152</v>
      </c>
      <c r="H4" s="10">
        <v>65</v>
      </c>
      <c r="I4" s="10">
        <v>346</v>
      </c>
      <c r="J4" s="10">
        <v>105</v>
      </c>
      <c r="K4" s="10">
        <v>79</v>
      </c>
      <c r="L4" s="10">
        <v>148</v>
      </c>
      <c r="M4" s="10">
        <v>233</v>
      </c>
      <c r="N4" s="10">
        <v>51</v>
      </c>
      <c r="O4" s="10">
        <v>48</v>
      </c>
      <c r="P4" s="10">
        <v>73</v>
      </c>
      <c r="Q4" s="10">
        <v>52</v>
      </c>
      <c r="R4" s="10">
        <v>18</v>
      </c>
      <c r="S4" s="10">
        <v>25</v>
      </c>
      <c r="T4" s="10">
        <v>33</v>
      </c>
      <c r="U4" s="10">
        <v>53</v>
      </c>
      <c r="V4" s="10"/>
      <c r="W4" s="10"/>
      <c r="X4" s="10"/>
      <c r="Y4" s="10">
        <f>SUM(E4:U4)</f>
        <v>3529</v>
      </c>
      <c r="Z4" s="10"/>
    </row>
    <row r="5" spans="3:26" x14ac:dyDescent="0.25">
      <c r="C5" s="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3:26" x14ac:dyDescent="0.25">
      <c r="C6" s="2" t="s">
        <v>415</v>
      </c>
      <c r="D6" t="s">
        <v>387</v>
      </c>
      <c r="E6" s="10">
        <v>1794</v>
      </c>
      <c r="F6" s="10">
        <v>2491</v>
      </c>
      <c r="G6" s="10">
        <v>610</v>
      </c>
      <c r="H6" s="10">
        <v>130</v>
      </c>
      <c r="I6" s="10">
        <v>613</v>
      </c>
      <c r="J6" s="10">
        <v>385</v>
      </c>
      <c r="K6" s="10">
        <v>139</v>
      </c>
      <c r="L6" s="10">
        <v>446</v>
      </c>
      <c r="M6" s="10">
        <v>609</v>
      </c>
      <c r="N6" s="10">
        <v>137</v>
      </c>
      <c r="O6" s="10">
        <v>98</v>
      </c>
      <c r="P6" s="10">
        <v>225</v>
      </c>
      <c r="Q6" s="10">
        <v>112</v>
      </c>
      <c r="R6" s="10">
        <v>43</v>
      </c>
      <c r="S6" s="10">
        <v>23</v>
      </c>
      <c r="T6" s="10">
        <v>75</v>
      </c>
      <c r="U6" s="10">
        <v>186</v>
      </c>
      <c r="V6" s="10"/>
      <c r="W6" s="10"/>
      <c r="X6" s="10"/>
      <c r="Y6" s="10">
        <f>SUM(E6:U6)</f>
        <v>8116</v>
      </c>
      <c r="Z6" s="10"/>
    </row>
    <row r="7" spans="3:26" x14ac:dyDescent="0.25">
      <c r="C7" s="2" t="s">
        <v>416</v>
      </c>
      <c r="D7" t="s">
        <v>388</v>
      </c>
      <c r="E7" s="10">
        <v>868</v>
      </c>
      <c r="F7" s="10">
        <v>1492</v>
      </c>
      <c r="G7" s="10">
        <v>451</v>
      </c>
      <c r="H7" s="10">
        <v>35</v>
      </c>
      <c r="I7" s="10">
        <v>254</v>
      </c>
      <c r="J7" s="10">
        <v>280</v>
      </c>
      <c r="K7" s="10">
        <v>54</v>
      </c>
      <c r="L7" s="10">
        <v>252</v>
      </c>
      <c r="M7" s="10">
        <v>362</v>
      </c>
      <c r="N7" s="10">
        <v>66</v>
      </c>
      <c r="O7" s="10">
        <v>54</v>
      </c>
      <c r="P7" s="10">
        <v>176</v>
      </c>
      <c r="Q7" s="10">
        <v>55</v>
      </c>
      <c r="R7" s="10">
        <v>32</v>
      </c>
      <c r="S7" s="10">
        <v>18</v>
      </c>
      <c r="T7" s="10">
        <v>39</v>
      </c>
      <c r="U7" s="10">
        <v>99</v>
      </c>
      <c r="V7" s="10"/>
      <c r="W7" s="10"/>
      <c r="X7" s="10"/>
      <c r="Y7" s="10">
        <f>SUM(E7:U7)</f>
        <v>4587</v>
      </c>
      <c r="Z7" s="10"/>
    </row>
    <row r="8" spans="3:26" x14ac:dyDescent="0.25">
      <c r="C8" s="2" t="s">
        <v>417</v>
      </c>
      <c r="D8" t="s">
        <v>389</v>
      </c>
      <c r="E8" s="10">
        <v>926</v>
      </c>
      <c r="F8" s="10">
        <v>999</v>
      </c>
      <c r="G8" s="10">
        <v>159</v>
      </c>
      <c r="H8" s="10">
        <v>95</v>
      </c>
      <c r="I8" s="10">
        <v>359</v>
      </c>
      <c r="J8" s="10">
        <v>105</v>
      </c>
      <c r="K8" s="10">
        <v>85</v>
      </c>
      <c r="L8" s="10">
        <v>194</v>
      </c>
      <c r="M8" s="10">
        <v>247</v>
      </c>
      <c r="N8" s="10">
        <v>71</v>
      </c>
      <c r="O8" s="10">
        <v>44</v>
      </c>
      <c r="P8" s="10">
        <v>49</v>
      </c>
      <c r="Q8" s="10">
        <v>57</v>
      </c>
      <c r="R8" s="10">
        <v>11</v>
      </c>
      <c r="S8" s="10">
        <v>5</v>
      </c>
      <c r="T8" s="10">
        <v>36</v>
      </c>
      <c r="U8" s="10">
        <v>87</v>
      </c>
      <c r="V8" s="10"/>
      <c r="W8" s="10"/>
      <c r="X8" s="10"/>
      <c r="Y8" s="10">
        <f>SUM(E8:U8)</f>
        <v>3529</v>
      </c>
      <c r="Z8" s="10"/>
    </row>
    <row r="9" spans="3:26" x14ac:dyDescent="0.25">
      <c r="C9" s="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3:26" x14ac:dyDescent="0.25">
      <c r="C10" s="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3:26" x14ac:dyDescent="0.25">
      <c r="C11" s="2"/>
      <c r="D11" t="s">
        <v>410</v>
      </c>
      <c r="E11" s="10">
        <f>(E2-E6)</f>
        <v>92</v>
      </c>
      <c r="F11" s="10">
        <f t="shared" ref="F11:U11" si="0">(F2-F6)</f>
        <v>-273</v>
      </c>
      <c r="G11" s="10">
        <f t="shared" si="0"/>
        <v>-134</v>
      </c>
      <c r="H11" s="10">
        <f t="shared" si="0"/>
        <v>-24</v>
      </c>
      <c r="I11" s="10">
        <f t="shared" si="0"/>
        <v>-4</v>
      </c>
      <c r="J11" s="10">
        <f t="shared" si="0"/>
        <v>-30</v>
      </c>
      <c r="K11" s="10">
        <f t="shared" si="0"/>
        <v>12</v>
      </c>
      <c r="L11" s="10">
        <f t="shared" si="0"/>
        <v>-187</v>
      </c>
      <c r="M11" s="10">
        <f t="shared" si="0"/>
        <v>-20</v>
      </c>
      <c r="N11" s="10">
        <f t="shared" si="0"/>
        <v>-20</v>
      </c>
      <c r="O11" s="10">
        <f t="shared" si="0"/>
        <v>-5</v>
      </c>
      <c r="P11" s="10">
        <f t="shared" si="0"/>
        <v>-12</v>
      </c>
      <c r="Q11" s="10">
        <f t="shared" si="0"/>
        <v>-6</v>
      </c>
      <c r="R11" s="10">
        <f t="shared" si="0"/>
        <v>28</v>
      </c>
      <c r="S11" s="10">
        <f t="shared" si="0"/>
        <v>45</v>
      </c>
      <c r="T11" s="10">
        <f t="shared" si="0"/>
        <v>11</v>
      </c>
      <c r="U11" s="10">
        <f t="shared" si="0"/>
        <v>-37</v>
      </c>
      <c r="V11" s="10">
        <f>SUM(E11:U11)</f>
        <v>-564</v>
      </c>
      <c r="W11" s="10"/>
      <c r="X11" s="10" t="s">
        <v>409</v>
      </c>
      <c r="Y11" s="10">
        <f>Y3-Y7</f>
        <v>-564</v>
      </c>
      <c r="Z11" s="10"/>
    </row>
    <row r="12" spans="3:26" x14ac:dyDescent="0.25">
      <c r="C12" s="2"/>
      <c r="D12" t="s">
        <v>411</v>
      </c>
      <c r="E12" s="10">
        <f>E3-E7</f>
        <v>27</v>
      </c>
      <c r="F12" s="10">
        <f t="shared" ref="F12:U12" si="1">F3-F7</f>
        <v>-331</v>
      </c>
      <c r="G12" s="10">
        <f t="shared" si="1"/>
        <v>-127</v>
      </c>
      <c r="H12" s="10">
        <f t="shared" si="1"/>
        <v>6</v>
      </c>
      <c r="I12" s="10">
        <f t="shared" si="1"/>
        <v>9</v>
      </c>
      <c r="J12" s="10">
        <f t="shared" si="1"/>
        <v>-30</v>
      </c>
      <c r="K12" s="10">
        <f t="shared" si="1"/>
        <v>18</v>
      </c>
      <c r="L12" s="10">
        <f t="shared" si="1"/>
        <v>-141</v>
      </c>
      <c r="M12" s="10">
        <f t="shared" si="1"/>
        <v>-6</v>
      </c>
      <c r="N12" s="10">
        <f t="shared" si="1"/>
        <v>0</v>
      </c>
      <c r="O12" s="10">
        <f t="shared" si="1"/>
        <v>-9</v>
      </c>
      <c r="P12" s="10">
        <f t="shared" si="1"/>
        <v>-36</v>
      </c>
      <c r="Q12" s="10">
        <f t="shared" si="1"/>
        <v>-1</v>
      </c>
      <c r="R12" s="10">
        <f t="shared" si="1"/>
        <v>21</v>
      </c>
      <c r="S12" s="10">
        <f t="shared" si="1"/>
        <v>25</v>
      </c>
      <c r="T12" s="10">
        <f t="shared" si="1"/>
        <v>14</v>
      </c>
      <c r="U12" s="10">
        <f t="shared" si="1"/>
        <v>-3</v>
      </c>
      <c r="V12" s="10">
        <f t="shared" ref="V12:V13" si="2">SUM(E12:U12)</f>
        <v>-564</v>
      </c>
      <c r="W12" s="10"/>
      <c r="X12" s="10"/>
      <c r="Y12" s="10"/>
      <c r="Z12" s="10"/>
    </row>
    <row r="13" spans="3:26" x14ac:dyDescent="0.25">
      <c r="C13" s="2"/>
      <c r="D13" t="s">
        <v>412</v>
      </c>
      <c r="E13" s="10">
        <f>E4-E8</f>
        <v>65</v>
      </c>
      <c r="F13" s="10">
        <f t="shared" ref="F13:U13" si="3">F4-F8</f>
        <v>58</v>
      </c>
      <c r="G13" s="10">
        <f t="shared" si="3"/>
        <v>-7</v>
      </c>
      <c r="H13" s="10">
        <f t="shared" si="3"/>
        <v>-30</v>
      </c>
      <c r="I13" s="10">
        <f t="shared" si="3"/>
        <v>-13</v>
      </c>
      <c r="J13" s="10">
        <f t="shared" si="3"/>
        <v>0</v>
      </c>
      <c r="K13" s="10">
        <f t="shared" si="3"/>
        <v>-6</v>
      </c>
      <c r="L13" s="10">
        <f t="shared" si="3"/>
        <v>-46</v>
      </c>
      <c r="M13" s="10">
        <f t="shared" si="3"/>
        <v>-14</v>
      </c>
      <c r="N13" s="10">
        <f t="shared" si="3"/>
        <v>-20</v>
      </c>
      <c r="O13" s="10">
        <f t="shared" si="3"/>
        <v>4</v>
      </c>
      <c r="P13" s="10">
        <f t="shared" si="3"/>
        <v>24</v>
      </c>
      <c r="Q13" s="10">
        <f t="shared" si="3"/>
        <v>-5</v>
      </c>
      <c r="R13" s="10">
        <f t="shared" si="3"/>
        <v>7</v>
      </c>
      <c r="S13" s="10">
        <f t="shared" si="3"/>
        <v>20</v>
      </c>
      <c r="T13" s="10">
        <f t="shared" si="3"/>
        <v>-3</v>
      </c>
      <c r="U13" s="10">
        <f t="shared" si="3"/>
        <v>-34</v>
      </c>
      <c r="V13" s="10">
        <f t="shared" si="2"/>
        <v>0</v>
      </c>
      <c r="W13" s="10" t="s">
        <v>413</v>
      </c>
      <c r="X13" s="10"/>
      <c r="Y13" s="10"/>
      <c r="Z13" s="10"/>
    </row>
    <row r="14" spans="3:26" x14ac:dyDescent="0.25">
      <c r="C14" s="2"/>
    </row>
    <row r="15" spans="3:26" x14ac:dyDescent="0.25">
      <c r="C15" s="2"/>
    </row>
    <row r="16" spans="3:26" x14ac:dyDescent="0.25">
      <c r="C16" s="2"/>
      <c r="D16" s="6" t="s">
        <v>414</v>
      </c>
    </row>
    <row r="17" spans="3:3" x14ac:dyDescent="0.25">
      <c r="C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Til kommunene</vt:lpstr>
      <vt:lpstr>Fra kommunene</vt:lpstr>
      <vt:lpstr>Samlet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 Sannes Riiser</dc:creator>
  <cp:lastModifiedBy>Even Sannes Riiser</cp:lastModifiedBy>
  <dcterms:created xsi:type="dcterms:W3CDTF">2026-05-13T06:54:33Z</dcterms:created>
  <dcterms:modified xsi:type="dcterms:W3CDTF">2026-05-13T12:52:12Z</dcterms:modified>
</cp:coreProperties>
</file>